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snoehmer\Documents\Visual Studio 2012\Projects\TestConceptGenerator\TestConceptGenerator\bin\Debug\templates\TestingOverviewTemplate\"/>
    </mc:Choice>
  </mc:AlternateContent>
  <bookViews>
    <workbookView xWindow="0" yWindow="0" windowWidth="28800" windowHeight="12435"/>
  </bookViews>
  <sheets>
    <sheet name="Overview" sheetId="1" r:id="rId1"/>
    <sheet name="Specification" sheetId="11" r:id="rId2"/>
    <sheet name="Design Documentation" sheetId="22" r:id="rId3"/>
    <sheet name="Electrical" sheetId="2" r:id="rId4"/>
    <sheet name="Electrical Functional" sheetId="12" r:id="rId5"/>
    <sheet name="Functional" sheetId="13" r:id="rId6"/>
    <sheet name="Lifetime Estimation" sheetId="14" r:id="rId7"/>
    <sheet name="Environmental" sheetId="15" r:id="rId8"/>
    <sheet name="EMC" sheetId="16" r:id="rId9"/>
    <sheet name="Risk Analysis" sheetId="17" r:id="rId10"/>
    <sheet name="Certification" sheetId="18" r:id="rId11"/>
    <sheet name="Aging" sheetId="19" r:id="rId12"/>
    <sheet name="Mechanical" sheetId="20" r:id="rId13"/>
    <sheet name="Quality Assurance" sheetId="21" r:id="rId14"/>
    <sheet name="Misc" sheetId="23" r:id="rId15"/>
  </sheets>
  <definedNames>
    <definedName name="bomversions">OFFSET(Overview!$O$10,0,0,COUNTA(Overview!$O$10:$O$27),1)</definedName>
    <definedName name="categories" localSheetId="11">OFFSET(Aging!$C$48,0,0,COUNTA(Aging!$C$48:$C$67),1)</definedName>
    <definedName name="categories" localSheetId="10">OFFSET(Certification!$C$48,0,0,COUNTA(Certification!$C$48:$C$67),1)</definedName>
    <definedName name="categories" localSheetId="3">OFFSET(Electrical!$C$48,0,0,COUNTA(Electrical!$C$48:$C$67),1)</definedName>
    <definedName name="categories" localSheetId="4">OFFSET('Electrical Functional'!$C$48,0,0,COUNTA('Electrical Functional'!$C$48:$C$67),1)</definedName>
    <definedName name="categories" localSheetId="8">OFFSET(EMC!$C$48,0,0,COUNTA(EMC!$C$48:$C$67),1)</definedName>
    <definedName name="categories" localSheetId="7">OFFSET(Environmental!$C$48,0,0,COUNTA(Environmental!$C$48:$C$67),1)</definedName>
    <definedName name="categories" localSheetId="5">OFFSET(Functional!$C$48,0,0,COUNTA(Functional!$C$48:$C$67),1)</definedName>
    <definedName name="categories" localSheetId="6">OFFSET('Lifetime Estimation'!$C$48,0,0,COUNTA('Lifetime Estimation'!$C$48:$C$67),1)</definedName>
    <definedName name="categories" localSheetId="12">OFFSET(Mechanical!$C$48,0,0,COUNTA(Mechanical!$C$48:$C$67),1)</definedName>
    <definedName name="categories" localSheetId="14">OFFSET(Misc!$C$48,0,0,COUNTA(Misc!$C$48:$C$67),1)</definedName>
    <definedName name="categories" localSheetId="13">OFFSET('Quality Assurance'!$C$48,0,0,COUNTA('Quality Assurance'!$C$48:$C$67),1)</definedName>
    <definedName name="categories" localSheetId="9">OFFSET('Risk Analysis'!$C$48,0,0,COUNTA('Risk Analysis'!$C$48:$C$67),1)</definedName>
    <definedName name="_xlnm.Print_Area" localSheetId="0">Overview!$A$1:$U$50</definedName>
    <definedName name="Kontrollkästchen1" localSheetId="0">Overview!$O$9</definedName>
    <definedName name="reviewers">OFFSET(Overview!$R$10,0,0,COUNTA(Overview!$R$10:$R$27),1)</definedName>
    <definedName name="revisions">OFFSET(Overview!$N$10,0,0,COUNTA(Overview!$N$10:$N$27),1)</definedName>
    <definedName name="testers">OFFSET(Overview!$Q$10,0,0,COUNTA(Overview!$Q$10:$Q$27),1)</definedName>
  </definedNames>
  <calcPr calcId="152511"/>
</workbook>
</file>

<file path=xl/calcChain.xml><?xml version="1.0" encoding="utf-8"?>
<calcChain xmlns="http://schemas.openxmlformats.org/spreadsheetml/2006/main">
  <c r="A3" i="23" l="1"/>
  <c r="O67" i="23"/>
  <c r="J67" i="23"/>
  <c r="I67" i="23"/>
  <c r="H67" i="23"/>
  <c r="G67" i="23"/>
  <c r="F67" i="23"/>
  <c r="E67" i="23"/>
  <c r="N67" i="23" s="1"/>
  <c r="J66" i="23"/>
  <c r="I66" i="23"/>
  <c r="H66" i="23"/>
  <c r="G66" i="23"/>
  <c r="F66" i="23"/>
  <c r="E66" i="23"/>
  <c r="M66" i="23" s="1"/>
  <c r="M65" i="23"/>
  <c r="K65" i="23"/>
  <c r="J65" i="23"/>
  <c r="I65" i="23"/>
  <c r="H65" i="23"/>
  <c r="P65" i="23" s="1"/>
  <c r="G65" i="23"/>
  <c r="F65" i="23"/>
  <c r="E65" i="23"/>
  <c r="O65" i="23" s="1"/>
  <c r="P64" i="23"/>
  <c r="K64" i="23"/>
  <c r="J64" i="23"/>
  <c r="I64" i="23"/>
  <c r="H64" i="23"/>
  <c r="G64" i="23"/>
  <c r="F64" i="23"/>
  <c r="E64" i="23"/>
  <c r="O64" i="23" s="1"/>
  <c r="O63" i="23"/>
  <c r="J63" i="23"/>
  <c r="I63" i="23"/>
  <c r="H63" i="23"/>
  <c r="G63" i="23"/>
  <c r="F63" i="23"/>
  <c r="E63" i="23"/>
  <c r="N63" i="23" s="1"/>
  <c r="J62" i="23"/>
  <c r="I62" i="23"/>
  <c r="H62" i="23"/>
  <c r="G62" i="23"/>
  <c r="F62" i="23"/>
  <c r="E62" i="23"/>
  <c r="M62" i="23" s="1"/>
  <c r="M61" i="23"/>
  <c r="K61" i="23"/>
  <c r="J61" i="23"/>
  <c r="I61" i="23"/>
  <c r="H61" i="23"/>
  <c r="P61" i="23" s="1"/>
  <c r="G61" i="23"/>
  <c r="F61" i="23"/>
  <c r="E61" i="23"/>
  <c r="O61" i="23" s="1"/>
  <c r="P60" i="23"/>
  <c r="K60" i="23"/>
  <c r="J60" i="23"/>
  <c r="I60" i="23"/>
  <c r="H60" i="23"/>
  <c r="G60" i="23"/>
  <c r="F60" i="23"/>
  <c r="E60" i="23"/>
  <c r="O60" i="23" s="1"/>
  <c r="O59" i="23"/>
  <c r="J59" i="23"/>
  <c r="I59" i="23"/>
  <c r="H59" i="23"/>
  <c r="G59" i="23"/>
  <c r="F59" i="23"/>
  <c r="E59" i="23"/>
  <c r="N59" i="23" s="1"/>
  <c r="J58" i="23"/>
  <c r="I58" i="23"/>
  <c r="H58" i="23"/>
  <c r="G58" i="23"/>
  <c r="F58" i="23"/>
  <c r="E58" i="23"/>
  <c r="M58" i="23" s="1"/>
  <c r="M57" i="23"/>
  <c r="K57" i="23"/>
  <c r="J57" i="23"/>
  <c r="I57" i="23"/>
  <c r="H57" i="23"/>
  <c r="P57" i="23" s="1"/>
  <c r="G57" i="23"/>
  <c r="F57" i="23"/>
  <c r="E57" i="23"/>
  <c r="O57" i="23" s="1"/>
  <c r="P56" i="23"/>
  <c r="K56" i="23"/>
  <c r="J56" i="23"/>
  <c r="I56" i="23"/>
  <c r="H56" i="23"/>
  <c r="G56" i="23"/>
  <c r="F56" i="23"/>
  <c r="E56" i="23"/>
  <c r="O56" i="23" s="1"/>
  <c r="O55" i="23"/>
  <c r="J55" i="23"/>
  <c r="I55" i="23"/>
  <c r="H55" i="23"/>
  <c r="G55" i="23"/>
  <c r="F55" i="23"/>
  <c r="E55" i="23"/>
  <c r="N55" i="23" s="1"/>
  <c r="J54" i="23"/>
  <c r="I54" i="23"/>
  <c r="H54" i="23"/>
  <c r="G54" i="23"/>
  <c r="F54" i="23"/>
  <c r="E54" i="23"/>
  <c r="M54" i="23" s="1"/>
  <c r="M53" i="23"/>
  <c r="K53" i="23"/>
  <c r="J53" i="23"/>
  <c r="I53" i="23"/>
  <c r="H53" i="23"/>
  <c r="P53" i="23" s="1"/>
  <c r="G53" i="23"/>
  <c r="F53" i="23"/>
  <c r="E53" i="23"/>
  <c r="O53" i="23" s="1"/>
  <c r="P52" i="23"/>
  <c r="K52" i="23"/>
  <c r="J52" i="23"/>
  <c r="I52" i="23"/>
  <c r="H52" i="23"/>
  <c r="G52" i="23"/>
  <c r="F52" i="23"/>
  <c r="E52" i="23"/>
  <c r="O52" i="23" s="1"/>
  <c r="O51" i="23"/>
  <c r="J51" i="23"/>
  <c r="I51" i="23"/>
  <c r="H51" i="23"/>
  <c r="G51" i="23"/>
  <c r="F51" i="23"/>
  <c r="E51" i="23"/>
  <c r="N51" i="23" s="1"/>
  <c r="J50" i="23"/>
  <c r="I50" i="23"/>
  <c r="H50" i="23"/>
  <c r="G50" i="23"/>
  <c r="F50" i="23"/>
  <c r="E50" i="23"/>
  <c r="M50" i="23" s="1"/>
  <c r="M49" i="23"/>
  <c r="K49" i="23"/>
  <c r="J49" i="23"/>
  <c r="I49" i="23"/>
  <c r="H49" i="23"/>
  <c r="P49" i="23" s="1"/>
  <c r="G49" i="23"/>
  <c r="F49" i="23"/>
  <c r="E49" i="23"/>
  <c r="O49" i="23" s="1"/>
  <c r="K48" i="23"/>
  <c r="J48" i="23"/>
  <c r="J68" i="23" s="1"/>
  <c r="I48" i="23"/>
  <c r="I68" i="23" s="1"/>
  <c r="H48" i="23"/>
  <c r="H68" i="23" s="1"/>
  <c r="G48" i="23"/>
  <c r="F48" i="23"/>
  <c r="F68" i="23" s="1"/>
  <c r="E48" i="23"/>
  <c r="A2" i="23"/>
  <c r="F34" i="1"/>
  <c r="J34" i="1"/>
  <c r="G34" i="1"/>
  <c r="D34" i="1"/>
  <c r="H34" i="1"/>
  <c r="E34" i="1"/>
  <c r="I34" i="1"/>
  <c r="P48" i="23" l="1"/>
  <c r="O48" i="23"/>
  <c r="N54" i="23"/>
  <c r="N62" i="23"/>
  <c r="G68" i="23"/>
  <c r="G69" i="23" s="1"/>
  <c r="H69" i="23"/>
  <c r="M48" i="23"/>
  <c r="N49" i="23"/>
  <c r="O50" i="23"/>
  <c r="K51" i="23"/>
  <c r="P51" i="23"/>
  <c r="M52" i="23"/>
  <c r="N53" i="23"/>
  <c r="O54" i="23"/>
  <c r="K55" i="23"/>
  <c r="P55" i="23"/>
  <c r="M56" i="23"/>
  <c r="N57" i="23"/>
  <c r="O58" i="23"/>
  <c r="K59" i="23"/>
  <c r="P59" i="23"/>
  <c r="M60" i="23"/>
  <c r="N61" i="23"/>
  <c r="O62" i="23"/>
  <c r="K63" i="23"/>
  <c r="P63" i="23"/>
  <c r="M64" i="23"/>
  <c r="N65" i="23"/>
  <c r="O66" i="23"/>
  <c r="K67" i="23"/>
  <c r="P67" i="23"/>
  <c r="E69" i="23"/>
  <c r="I69" i="23"/>
  <c r="N58" i="23"/>
  <c r="N48" i="23"/>
  <c r="K50" i="23"/>
  <c r="P50" i="23"/>
  <c r="M51" i="23"/>
  <c r="N52" i="23"/>
  <c r="K54" i="23"/>
  <c r="P54" i="23"/>
  <c r="M55" i="23"/>
  <c r="N56" i="23"/>
  <c r="K58" i="23"/>
  <c r="P58" i="23"/>
  <c r="M59" i="23"/>
  <c r="N60" i="23"/>
  <c r="K62" i="23"/>
  <c r="P62" i="23"/>
  <c r="M63" i="23"/>
  <c r="N64" i="23"/>
  <c r="K66" i="23"/>
  <c r="P66" i="23"/>
  <c r="M67" i="23"/>
  <c r="E68" i="23"/>
  <c r="F69" i="23"/>
  <c r="J69" i="23"/>
  <c r="N50" i="23"/>
  <c r="N66" i="23"/>
  <c r="P69" i="23" l="1"/>
  <c r="O69" i="23"/>
  <c r="N69" i="23"/>
  <c r="M69" i="23"/>
  <c r="O68" i="23"/>
  <c r="N68" i="23"/>
  <c r="M68" i="23"/>
  <c r="P68" i="23"/>
  <c r="K68" i="23"/>
  <c r="K69" i="23" s="1"/>
  <c r="A3" i="21" l="1"/>
  <c r="O67" i="21"/>
  <c r="J67" i="21"/>
  <c r="I67" i="21"/>
  <c r="H67" i="21"/>
  <c r="G67" i="21"/>
  <c r="F67" i="21"/>
  <c r="E67" i="21"/>
  <c r="N67" i="21" s="1"/>
  <c r="J66" i="21"/>
  <c r="I66" i="21"/>
  <c r="H66" i="21"/>
  <c r="G66" i="21"/>
  <c r="F66" i="21"/>
  <c r="E66" i="21"/>
  <c r="M66" i="21" s="1"/>
  <c r="M65" i="21"/>
  <c r="K65" i="21"/>
  <c r="J65" i="21"/>
  <c r="I65" i="21"/>
  <c r="H65" i="21"/>
  <c r="P65" i="21" s="1"/>
  <c r="G65" i="21"/>
  <c r="F65" i="21"/>
  <c r="E65" i="21"/>
  <c r="O65" i="21" s="1"/>
  <c r="P64" i="21"/>
  <c r="K64" i="21"/>
  <c r="J64" i="21"/>
  <c r="I64" i="21"/>
  <c r="H64" i="21"/>
  <c r="G64" i="21"/>
  <c r="F64" i="21"/>
  <c r="E64" i="21"/>
  <c r="O64" i="21" s="1"/>
  <c r="O63" i="21"/>
  <c r="J63" i="21"/>
  <c r="I63" i="21"/>
  <c r="H63" i="21"/>
  <c r="G63" i="21"/>
  <c r="F63" i="21"/>
  <c r="E63" i="21"/>
  <c r="N63" i="21" s="1"/>
  <c r="J62" i="21"/>
  <c r="I62" i="21"/>
  <c r="H62" i="21"/>
  <c r="G62" i="21"/>
  <c r="F62" i="21"/>
  <c r="E62" i="21"/>
  <c r="M62" i="21" s="1"/>
  <c r="M61" i="21"/>
  <c r="K61" i="21"/>
  <c r="J61" i="21"/>
  <c r="I61" i="21"/>
  <c r="H61" i="21"/>
  <c r="P61" i="21" s="1"/>
  <c r="G61" i="21"/>
  <c r="F61" i="21"/>
  <c r="E61" i="21"/>
  <c r="N61" i="21" s="1"/>
  <c r="P60" i="21"/>
  <c r="O60" i="21"/>
  <c r="K60" i="21"/>
  <c r="J60" i="21"/>
  <c r="I60" i="21"/>
  <c r="H60" i="21"/>
  <c r="G60" i="21"/>
  <c r="F60" i="21"/>
  <c r="E60" i="21"/>
  <c r="N60" i="21" s="1"/>
  <c r="O59" i="21"/>
  <c r="J59" i="21"/>
  <c r="I59" i="21"/>
  <c r="H59" i="21"/>
  <c r="G59" i="21"/>
  <c r="F59" i="21"/>
  <c r="E59" i="21"/>
  <c r="N59" i="21" s="1"/>
  <c r="J58" i="21"/>
  <c r="I58" i="21"/>
  <c r="H58" i="21"/>
  <c r="G58" i="21"/>
  <c r="F58" i="21"/>
  <c r="E58" i="21"/>
  <c r="M58" i="21" s="1"/>
  <c r="M57" i="21"/>
  <c r="K57" i="21"/>
  <c r="J57" i="21"/>
  <c r="I57" i="21"/>
  <c r="H57" i="21"/>
  <c r="P57" i="21" s="1"/>
  <c r="G57" i="21"/>
  <c r="F57" i="21"/>
  <c r="E57" i="21"/>
  <c r="N57" i="21" s="1"/>
  <c r="P56" i="21"/>
  <c r="O56" i="21"/>
  <c r="K56" i="21"/>
  <c r="J56" i="21"/>
  <c r="I56" i="21"/>
  <c r="H56" i="21"/>
  <c r="G56" i="21"/>
  <c r="F56" i="21"/>
  <c r="E56" i="21"/>
  <c r="N56" i="21" s="1"/>
  <c r="O55" i="21"/>
  <c r="J55" i="21"/>
  <c r="I55" i="21"/>
  <c r="H55" i="21"/>
  <c r="G55" i="21"/>
  <c r="F55" i="21"/>
  <c r="E55" i="21"/>
  <c r="N55" i="21" s="1"/>
  <c r="J54" i="21"/>
  <c r="I54" i="21"/>
  <c r="H54" i="21"/>
  <c r="G54" i="21"/>
  <c r="F54" i="21"/>
  <c r="E54" i="21"/>
  <c r="M54" i="21" s="1"/>
  <c r="M53" i="21"/>
  <c r="K53" i="21"/>
  <c r="J53" i="21"/>
  <c r="I53" i="21"/>
  <c r="H53" i="21"/>
  <c r="P53" i="21" s="1"/>
  <c r="G53" i="21"/>
  <c r="F53" i="21"/>
  <c r="E53" i="21"/>
  <c r="N53" i="21" s="1"/>
  <c r="P52" i="21"/>
  <c r="O52" i="21"/>
  <c r="K52" i="21"/>
  <c r="J52" i="21"/>
  <c r="I52" i="21"/>
  <c r="H52" i="21"/>
  <c r="G52" i="21"/>
  <c r="F52" i="21"/>
  <c r="E52" i="21"/>
  <c r="N52" i="21" s="1"/>
  <c r="J51" i="21"/>
  <c r="I51" i="21"/>
  <c r="H51" i="21"/>
  <c r="G51" i="21"/>
  <c r="F51" i="21"/>
  <c r="E51" i="21"/>
  <c r="N51" i="21" s="1"/>
  <c r="M50" i="21"/>
  <c r="J50" i="21"/>
  <c r="I50" i="21"/>
  <c r="H50" i="21"/>
  <c r="G50" i="21"/>
  <c r="F50" i="21"/>
  <c r="E50" i="21"/>
  <c r="P50" i="21" s="1"/>
  <c r="M49" i="21"/>
  <c r="K49" i="21"/>
  <c r="J49" i="21"/>
  <c r="I49" i="21"/>
  <c r="H49" i="21"/>
  <c r="P49" i="21" s="1"/>
  <c r="G49" i="21"/>
  <c r="F49" i="21"/>
  <c r="E49" i="21"/>
  <c r="N49" i="21" s="1"/>
  <c r="K48" i="21"/>
  <c r="J48" i="21"/>
  <c r="J68" i="21" s="1"/>
  <c r="I48" i="21"/>
  <c r="I68" i="21" s="1"/>
  <c r="H48" i="21"/>
  <c r="H68" i="21" s="1"/>
  <c r="G48" i="21"/>
  <c r="F48" i="21"/>
  <c r="F68" i="21" s="1"/>
  <c r="E48" i="21"/>
  <c r="E68" i="21" s="1"/>
  <c r="A2" i="21"/>
  <c r="A3" i="20"/>
  <c r="J67" i="20"/>
  <c r="I67" i="20"/>
  <c r="H67" i="20"/>
  <c r="G67" i="20"/>
  <c r="F67" i="20"/>
  <c r="E67" i="20"/>
  <c r="M67" i="20" s="1"/>
  <c r="M66" i="20"/>
  <c r="J66" i="20"/>
  <c r="I66" i="20"/>
  <c r="H66" i="20"/>
  <c r="G66" i="20"/>
  <c r="F66" i="20"/>
  <c r="E66" i="20"/>
  <c r="P66" i="20" s="1"/>
  <c r="P65" i="20"/>
  <c r="K65" i="20"/>
  <c r="J65" i="20"/>
  <c r="I65" i="20"/>
  <c r="H65" i="20"/>
  <c r="G65" i="20"/>
  <c r="F65" i="20"/>
  <c r="E65" i="20"/>
  <c r="O65" i="20" s="1"/>
  <c r="O64" i="20"/>
  <c r="J64" i="20"/>
  <c r="I64" i="20"/>
  <c r="H64" i="20"/>
  <c r="G64" i="20"/>
  <c r="F64" i="20"/>
  <c r="E64" i="20"/>
  <c r="N64" i="20" s="1"/>
  <c r="J63" i="20"/>
  <c r="I63" i="20"/>
  <c r="H63" i="20"/>
  <c r="G63" i="20"/>
  <c r="F63" i="20"/>
  <c r="E63" i="20"/>
  <c r="M63" i="20" s="1"/>
  <c r="M62" i="20"/>
  <c r="J62" i="20"/>
  <c r="I62" i="20"/>
  <c r="H62" i="20"/>
  <c r="G62" i="20"/>
  <c r="F62" i="20"/>
  <c r="E62" i="20"/>
  <c r="P62" i="20" s="1"/>
  <c r="P61" i="20"/>
  <c r="K61" i="20"/>
  <c r="J61" i="20"/>
  <c r="I61" i="20"/>
  <c r="H61" i="20"/>
  <c r="G61" i="20"/>
  <c r="F61" i="20"/>
  <c r="E61" i="20"/>
  <c r="O61" i="20" s="1"/>
  <c r="O60" i="20"/>
  <c r="J60" i="20"/>
  <c r="I60" i="20"/>
  <c r="H60" i="20"/>
  <c r="G60" i="20"/>
  <c r="F60" i="20"/>
  <c r="E60" i="20"/>
  <c r="N60" i="20" s="1"/>
  <c r="J59" i="20"/>
  <c r="I59" i="20"/>
  <c r="H59" i="20"/>
  <c r="G59" i="20"/>
  <c r="F59" i="20"/>
  <c r="E59" i="20"/>
  <c r="M59" i="20" s="1"/>
  <c r="M58" i="20"/>
  <c r="J58" i="20"/>
  <c r="I58" i="20"/>
  <c r="H58" i="20"/>
  <c r="G58" i="20"/>
  <c r="F58" i="20"/>
  <c r="E58" i="20"/>
  <c r="P58" i="20" s="1"/>
  <c r="P57" i="20"/>
  <c r="K57" i="20"/>
  <c r="J57" i="20"/>
  <c r="I57" i="20"/>
  <c r="H57" i="20"/>
  <c r="G57" i="20"/>
  <c r="F57" i="20"/>
  <c r="E57" i="20"/>
  <c r="O57" i="20" s="1"/>
  <c r="O56" i="20"/>
  <c r="J56" i="20"/>
  <c r="I56" i="20"/>
  <c r="H56" i="20"/>
  <c r="G56" i="20"/>
  <c r="F56" i="20"/>
  <c r="E56" i="20"/>
  <c r="N56" i="20" s="1"/>
  <c r="J55" i="20"/>
  <c r="I55" i="20"/>
  <c r="H55" i="20"/>
  <c r="G55" i="20"/>
  <c r="F55" i="20"/>
  <c r="E55" i="20"/>
  <c r="M55" i="20" s="1"/>
  <c r="M54" i="20"/>
  <c r="K54" i="20"/>
  <c r="J54" i="20"/>
  <c r="I54" i="20"/>
  <c r="H54" i="20"/>
  <c r="P54" i="20" s="1"/>
  <c r="G54" i="20"/>
  <c r="F54" i="20"/>
  <c r="E54" i="20"/>
  <c r="O54" i="20" s="1"/>
  <c r="P53" i="20"/>
  <c r="K53" i="20"/>
  <c r="J53" i="20"/>
  <c r="I53" i="20"/>
  <c r="H53" i="20"/>
  <c r="G53" i="20"/>
  <c r="F53" i="20"/>
  <c r="E53" i="20"/>
  <c r="O53" i="20" s="1"/>
  <c r="O52" i="20"/>
  <c r="J52" i="20"/>
  <c r="I52" i="20"/>
  <c r="H52" i="20"/>
  <c r="G52" i="20"/>
  <c r="F52" i="20"/>
  <c r="E52" i="20"/>
  <c r="N52" i="20" s="1"/>
  <c r="J51" i="20"/>
  <c r="I51" i="20"/>
  <c r="H51" i="20"/>
  <c r="G51" i="20"/>
  <c r="F51" i="20"/>
  <c r="E51" i="20"/>
  <c r="M51" i="20" s="1"/>
  <c r="M50" i="20"/>
  <c r="K50" i="20"/>
  <c r="J50" i="20"/>
  <c r="I50" i="20"/>
  <c r="H50" i="20"/>
  <c r="P50" i="20" s="1"/>
  <c r="G50" i="20"/>
  <c r="F50" i="20"/>
  <c r="E50" i="20"/>
  <c r="O50" i="20" s="1"/>
  <c r="P49" i="20"/>
  <c r="K49" i="20"/>
  <c r="J49" i="20"/>
  <c r="I49" i="20"/>
  <c r="H49" i="20"/>
  <c r="G49" i="20"/>
  <c r="F49" i="20"/>
  <c r="E49" i="20"/>
  <c r="O49" i="20" s="1"/>
  <c r="J48" i="20"/>
  <c r="I48" i="20"/>
  <c r="I68" i="20" s="1"/>
  <c r="H48" i="20"/>
  <c r="H68" i="20" s="1"/>
  <c r="G48" i="20"/>
  <c r="G68" i="20" s="1"/>
  <c r="F48" i="20"/>
  <c r="E48" i="20"/>
  <c r="E68" i="20" s="1"/>
  <c r="A2" i="20"/>
  <c r="A3" i="19"/>
  <c r="J67" i="19"/>
  <c r="I67" i="19"/>
  <c r="H67" i="19"/>
  <c r="G67" i="19"/>
  <c r="F67" i="19"/>
  <c r="E67" i="19"/>
  <c r="N67" i="19" s="1"/>
  <c r="J66" i="19"/>
  <c r="I66" i="19"/>
  <c r="H66" i="19"/>
  <c r="G66" i="19"/>
  <c r="F66" i="19"/>
  <c r="E66" i="19"/>
  <c r="M66" i="19" s="1"/>
  <c r="J65" i="19"/>
  <c r="I65" i="19"/>
  <c r="H65" i="19"/>
  <c r="G65" i="19"/>
  <c r="F65" i="19"/>
  <c r="E65" i="19"/>
  <c r="O65" i="19" s="1"/>
  <c r="J64" i="19"/>
  <c r="I64" i="19"/>
  <c r="H64" i="19"/>
  <c r="G64" i="19"/>
  <c r="F64" i="19"/>
  <c r="E64" i="19"/>
  <c r="J63" i="19"/>
  <c r="I63" i="19"/>
  <c r="H63" i="19"/>
  <c r="G63" i="19"/>
  <c r="F63" i="19"/>
  <c r="E63" i="19"/>
  <c r="N63" i="19" s="1"/>
  <c r="J62" i="19"/>
  <c r="I62" i="19"/>
  <c r="H62" i="19"/>
  <c r="G62" i="19"/>
  <c r="F62" i="19"/>
  <c r="E62" i="19"/>
  <c r="M62" i="19" s="1"/>
  <c r="M61" i="19"/>
  <c r="J61" i="19"/>
  <c r="I61" i="19"/>
  <c r="H61" i="19"/>
  <c r="P61" i="19" s="1"/>
  <c r="G61" i="19"/>
  <c r="F61" i="19"/>
  <c r="E61" i="19"/>
  <c r="J60" i="19"/>
  <c r="I60" i="19"/>
  <c r="H60" i="19"/>
  <c r="G60" i="19"/>
  <c r="F60" i="19"/>
  <c r="E60" i="19"/>
  <c r="J59" i="19"/>
  <c r="I59" i="19"/>
  <c r="H59" i="19"/>
  <c r="O59" i="19" s="1"/>
  <c r="G59" i="19"/>
  <c r="F59" i="19"/>
  <c r="E59" i="19"/>
  <c r="N59" i="19" s="1"/>
  <c r="J58" i="19"/>
  <c r="I58" i="19"/>
  <c r="H58" i="19"/>
  <c r="G58" i="19"/>
  <c r="F58" i="19"/>
  <c r="E58" i="19"/>
  <c r="M58" i="19" s="1"/>
  <c r="J57" i="19"/>
  <c r="I57" i="19"/>
  <c r="H57" i="19"/>
  <c r="G57" i="19"/>
  <c r="F57" i="19"/>
  <c r="E57" i="19"/>
  <c r="J56" i="19"/>
  <c r="I56" i="19"/>
  <c r="H56" i="19"/>
  <c r="G56" i="19"/>
  <c r="F56" i="19"/>
  <c r="E56" i="19"/>
  <c r="O56" i="19" s="1"/>
  <c r="J55" i="19"/>
  <c r="I55" i="19"/>
  <c r="H55" i="19"/>
  <c r="G55" i="19"/>
  <c r="F55" i="19"/>
  <c r="E55" i="19"/>
  <c r="N55" i="19" s="1"/>
  <c r="J54" i="19"/>
  <c r="I54" i="19"/>
  <c r="H54" i="19"/>
  <c r="G54" i="19"/>
  <c r="F54" i="19"/>
  <c r="E54" i="19"/>
  <c r="M54" i="19" s="1"/>
  <c r="J53" i="19"/>
  <c r="I53" i="19"/>
  <c r="H53" i="19"/>
  <c r="O53" i="19" s="1"/>
  <c r="G53" i="19"/>
  <c r="F53" i="19"/>
  <c r="E53" i="19"/>
  <c r="M53" i="19" s="1"/>
  <c r="J52" i="19"/>
  <c r="I52" i="19"/>
  <c r="H52" i="19"/>
  <c r="G52" i="19"/>
  <c r="F52" i="19"/>
  <c r="E52" i="19"/>
  <c r="P52" i="19" s="1"/>
  <c r="J51" i="19"/>
  <c r="I51" i="19"/>
  <c r="H51" i="19"/>
  <c r="G51" i="19"/>
  <c r="F51" i="19"/>
  <c r="E51" i="19"/>
  <c r="N51" i="19" s="1"/>
  <c r="J50" i="19"/>
  <c r="I50" i="19"/>
  <c r="H50" i="19"/>
  <c r="G50" i="19"/>
  <c r="F50" i="19"/>
  <c r="E50" i="19"/>
  <c r="M50" i="19" s="1"/>
  <c r="J49" i="19"/>
  <c r="I49" i="19"/>
  <c r="H49" i="19"/>
  <c r="G49" i="19"/>
  <c r="F49" i="19"/>
  <c r="E49" i="19"/>
  <c r="J48" i="19"/>
  <c r="I48" i="19"/>
  <c r="H48" i="19"/>
  <c r="G48" i="19"/>
  <c r="F48" i="19"/>
  <c r="E48" i="19"/>
  <c r="O48" i="19" s="1"/>
  <c r="A2" i="19"/>
  <c r="A3" i="18"/>
  <c r="J67" i="18"/>
  <c r="I67" i="18"/>
  <c r="H67" i="18"/>
  <c r="G67" i="18"/>
  <c r="F67" i="18"/>
  <c r="E67" i="18"/>
  <c r="N67" i="18" s="1"/>
  <c r="J66" i="18"/>
  <c r="I66" i="18"/>
  <c r="H66" i="18"/>
  <c r="G66" i="18"/>
  <c r="F66" i="18"/>
  <c r="E66" i="18"/>
  <c r="M66" i="18" s="1"/>
  <c r="J65" i="18"/>
  <c r="I65" i="18"/>
  <c r="H65" i="18"/>
  <c r="G65" i="18"/>
  <c r="F65" i="18"/>
  <c r="E65" i="18"/>
  <c r="J64" i="18"/>
  <c r="I64" i="18"/>
  <c r="H64" i="18"/>
  <c r="G64" i="18"/>
  <c r="F64" i="18"/>
  <c r="E64" i="18"/>
  <c r="J63" i="18"/>
  <c r="I63" i="18"/>
  <c r="H63" i="18"/>
  <c r="G63" i="18"/>
  <c r="F63" i="18"/>
  <c r="E63" i="18"/>
  <c r="N63" i="18" s="1"/>
  <c r="J62" i="18"/>
  <c r="I62" i="18"/>
  <c r="H62" i="18"/>
  <c r="G62" i="18"/>
  <c r="F62" i="18"/>
  <c r="E62" i="18"/>
  <c r="M62" i="18" s="1"/>
  <c r="M61" i="18"/>
  <c r="J61" i="18"/>
  <c r="I61" i="18"/>
  <c r="H61" i="18"/>
  <c r="G61" i="18"/>
  <c r="F61" i="18"/>
  <c r="E61" i="18"/>
  <c r="J60" i="18"/>
  <c r="I60" i="18"/>
  <c r="H60" i="18"/>
  <c r="G60" i="18"/>
  <c r="F60" i="18"/>
  <c r="E60" i="18"/>
  <c r="M60" i="18" s="1"/>
  <c r="J59" i="18"/>
  <c r="I59" i="18"/>
  <c r="H59" i="18"/>
  <c r="G59" i="18"/>
  <c r="F59" i="18"/>
  <c r="E59" i="18"/>
  <c r="N59" i="18" s="1"/>
  <c r="J58" i="18"/>
  <c r="I58" i="18"/>
  <c r="H58" i="18"/>
  <c r="G58" i="18"/>
  <c r="F58" i="18"/>
  <c r="E58" i="18"/>
  <c r="M58" i="18" s="1"/>
  <c r="J57" i="18"/>
  <c r="I57" i="18"/>
  <c r="H57" i="18"/>
  <c r="G57" i="18"/>
  <c r="F57" i="18"/>
  <c r="E57" i="18"/>
  <c r="M57" i="18" s="1"/>
  <c r="K56" i="18"/>
  <c r="J56" i="18"/>
  <c r="I56" i="18"/>
  <c r="H56" i="18"/>
  <c r="G56" i="18"/>
  <c r="F56" i="18"/>
  <c r="E56" i="18"/>
  <c r="M56" i="18" s="1"/>
  <c r="J55" i="18"/>
  <c r="I55" i="18"/>
  <c r="H55" i="18"/>
  <c r="G55" i="18"/>
  <c r="F55" i="18"/>
  <c r="E55" i="18"/>
  <c r="N55" i="18" s="1"/>
  <c r="J54" i="18"/>
  <c r="I54" i="18"/>
  <c r="H54" i="18"/>
  <c r="G54" i="18"/>
  <c r="F54" i="18"/>
  <c r="E54" i="18"/>
  <c r="M54" i="18" s="1"/>
  <c r="J53" i="18"/>
  <c r="I53" i="18"/>
  <c r="H53" i="18"/>
  <c r="G53" i="18"/>
  <c r="F53" i="18"/>
  <c r="E53" i="18"/>
  <c r="P53" i="18" s="1"/>
  <c r="J52" i="18"/>
  <c r="I52" i="18"/>
  <c r="H52" i="18"/>
  <c r="O52" i="18" s="1"/>
  <c r="G52" i="18"/>
  <c r="F52" i="18"/>
  <c r="E52" i="18"/>
  <c r="N52" i="18" s="1"/>
  <c r="K51" i="18"/>
  <c r="J51" i="18"/>
  <c r="I51" i="18"/>
  <c r="H51" i="18"/>
  <c r="G51" i="18"/>
  <c r="F51" i="18"/>
  <c r="E51" i="18"/>
  <c r="N51" i="18" s="1"/>
  <c r="J50" i="18"/>
  <c r="I50" i="18"/>
  <c r="H50" i="18"/>
  <c r="G50" i="18"/>
  <c r="F50" i="18"/>
  <c r="E50" i="18"/>
  <c r="M50" i="18" s="1"/>
  <c r="J49" i="18"/>
  <c r="I49" i="18"/>
  <c r="H49" i="18"/>
  <c r="G49" i="18"/>
  <c r="F49" i="18"/>
  <c r="E49" i="18"/>
  <c r="J48" i="18"/>
  <c r="I48" i="18"/>
  <c r="I68" i="18" s="1"/>
  <c r="H48" i="18"/>
  <c r="G48" i="18"/>
  <c r="F48" i="18"/>
  <c r="E48" i="18"/>
  <c r="E68" i="18" s="1"/>
  <c r="A2" i="18"/>
  <c r="A3" i="17"/>
  <c r="J67" i="17"/>
  <c r="I67" i="17"/>
  <c r="H67" i="17"/>
  <c r="G67" i="17"/>
  <c r="F67" i="17"/>
  <c r="E67" i="17"/>
  <c r="N67" i="17" s="1"/>
  <c r="J66" i="17"/>
  <c r="I66" i="17"/>
  <c r="H66" i="17"/>
  <c r="G66" i="17"/>
  <c r="F66" i="17"/>
  <c r="E66" i="17"/>
  <c r="M66" i="17" s="1"/>
  <c r="J65" i="17"/>
  <c r="I65" i="17"/>
  <c r="H65" i="17"/>
  <c r="G65" i="17"/>
  <c r="F65" i="17"/>
  <c r="E65" i="17"/>
  <c r="O65" i="17" s="1"/>
  <c r="J64" i="17"/>
  <c r="I64" i="17"/>
  <c r="H64" i="17"/>
  <c r="G64" i="17"/>
  <c r="F64" i="17"/>
  <c r="E64" i="17"/>
  <c r="J63" i="17"/>
  <c r="I63" i="17"/>
  <c r="H63" i="17"/>
  <c r="G63" i="17"/>
  <c r="F63" i="17"/>
  <c r="E63" i="17"/>
  <c r="N63" i="17" s="1"/>
  <c r="J62" i="17"/>
  <c r="I62" i="17"/>
  <c r="H62" i="17"/>
  <c r="G62" i="17"/>
  <c r="F62" i="17"/>
  <c r="E62" i="17"/>
  <c r="M62" i="17" s="1"/>
  <c r="M61" i="17"/>
  <c r="J61" i="17"/>
  <c r="I61" i="17"/>
  <c r="H61" i="17"/>
  <c r="P61" i="17" s="1"/>
  <c r="G61" i="17"/>
  <c r="F61" i="17"/>
  <c r="E61" i="17"/>
  <c r="N61" i="17" s="1"/>
  <c r="J60" i="17"/>
  <c r="I60" i="17"/>
  <c r="H60" i="17"/>
  <c r="G60" i="17"/>
  <c r="F60" i="17"/>
  <c r="E60" i="17"/>
  <c r="J59" i="17"/>
  <c r="I59" i="17"/>
  <c r="H59" i="17"/>
  <c r="G59" i="17"/>
  <c r="F59" i="17"/>
  <c r="E59" i="17"/>
  <c r="N59" i="17" s="1"/>
  <c r="J58" i="17"/>
  <c r="I58" i="17"/>
  <c r="H58" i="17"/>
  <c r="G58" i="17"/>
  <c r="F58" i="17"/>
  <c r="E58" i="17"/>
  <c r="M58" i="17" s="1"/>
  <c r="J57" i="17"/>
  <c r="I57" i="17"/>
  <c r="H57" i="17"/>
  <c r="G57" i="17"/>
  <c r="F57" i="17"/>
  <c r="E57" i="17"/>
  <c r="N57" i="17" s="1"/>
  <c r="J56" i="17"/>
  <c r="I56" i="17"/>
  <c r="H56" i="17"/>
  <c r="G56" i="17"/>
  <c r="F56" i="17"/>
  <c r="E56" i="17"/>
  <c r="J55" i="17"/>
  <c r="I55" i="17"/>
  <c r="H55" i="17"/>
  <c r="G55" i="17"/>
  <c r="F55" i="17"/>
  <c r="E55" i="17"/>
  <c r="N55" i="17" s="1"/>
  <c r="J54" i="17"/>
  <c r="I54" i="17"/>
  <c r="H54" i="17"/>
  <c r="G54" i="17"/>
  <c r="F54" i="17"/>
  <c r="E54" i="17"/>
  <c r="M54" i="17" s="1"/>
  <c r="J53" i="17"/>
  <c r="I53" i="17"/>
  <c r="H53" i="17"/>
  <c r="G53" i="17"/>
  <c r="F53" i="17"/>
  <c r="E53" i="17"/>
  <c r="N53" i="17" s="1"/>
  <c r="J52" i="17"/>
  <c r="I52" i="17"/>
  <c r="H52" i="17"/>
  <c r="G52" i="17"/>
  <c r="F52" i="17"/>
  <c r="E52" i="17"/>
  <c r="J51" i="17"/>
  <c r="I51" i="17"/>
  <c r="H51" i="17"/>
  <c r="G51" i="17"/>
  <c r="F51" i="17"/>
  <c r="E51" i="17"/>
  <c r="N51" i="17" s="1"/>
  <c r="J50" i="17"/>
  <c r="I50" i="17"/>
  <c r="H50" i="17"/>
  <c r="G50" i="17"/>
  <c r="F50" i="17"/>
  <c r="E50" i="17"/>
  <c r="M50" i="17" s="1"/>
  <c r="J49" i="17"/>
  <c r="I49" i="17"/>
  <c r="H49" i="17"/>
  <c r="G49" i="17"/>
  <c r="F49" i="17"/>
  <c r="E49" i="17"/>
  <c r="O49" i="17" s="1"/>
  <c r="J48" i="17"/>
  <c r="I48" i="17"/>
  <c r="H48" i="17"/>
  <c r="G48" i="17"/>
  <c r="F48" i="17"/>
  <c r="E48" i="17"/>
  <c r="O48" i="17" s="1"/>
  <c r="A2" i="17"/>
  <c r="A3" i="16"/>
  <c r="J67" i="16"/>
  <c r="I67" i="16"/>
  <c r="H67" i="16"/>
  <c r="G67" i="16"/>
  <c r="F67" i="16"/>
  <c r="E67" i="16"/>
  <c r="N67" i="16" s="1"/>
  <c r="J66" i="16"/>
  <c r="I66" i="16"/>
  <c r="H66" i="16"/>
  <c r="G66" i="16"/>
  <c r="F66" i="16"/>
  <c r="E66" i="16"/>
  <c r="M66" i="16" s="1"/>
  <c r="J65" i="16"/>
  <c r="I65" i="16"/>
  <c r="H65" i="16"/>
  <c r="G65" i="16"/>
  <c r="F65" i="16"/>
  <c r="E65" i="16"/>
  <c r="M65" i="16" s="1"/>
  <c r="J64" i="16"/>
  <c r="I64" i="16"/>
  <c r="H64" i="16"/>
  <c r="G64" i="16"/>
  <c r="F64" i="16"/>
  <c r="E64" i="16"/>
  <c r="M64" i="16" s="1"/>
  <c r="J63" i="16"/>
  <c r="I63" i="16"/>
  <c r="H63" i="16"/>
  <c r="G63" i="16"/>
  <c r="F63" i="16"/>
  <c r="E63" i="16"/>
  <c r="N63" i="16" s="1"/>
  <c r="J62" i="16"/>
  <c r="I62" i="16"/>
  <c r="H62" i="16"/>
  <c r="G62" i="16"/>
  <c r="F62" i="16"/>
  <c r="E62" i="16"/>
  <c r="M62" i="16" s="1"/>
  <c r="J61" i="16"/>
  <c r="I61" i="16"/>
  <c r="H61" i="16"/>
  <c r="G61" i="16"/>
  <c r="F61" i="16"/>
  <c r="E61" i="16"/>
  <c r="J60" i="16"/>
  <c r="I60" i="16"/>
  <c r="H60" i="16"/>
  <c r="G60" i="16"/>
  <c r="F60" i="16"/>
  <c r="E60" i="16"/>
  <c r="J59" i="16"/>
  <c r="I59" i="16"/>
  <c r="H59" i="16"/>
  <c r="G59" i="16"/>
  <c r="F59" i="16"/>
  <c r="E59" i="16"/>
  <c r="N59" i="16" s="1"/>
  <c r="J58" i="16"/>
  <c r="I58" i="16"/>
  <c r="H58" i="16"/>
  <c r="G58" i="16"/>
  <c r="F58" i="16"/>
  <c r="E58" i="16"/>
  <c r="M58" i="16" s="1"/>
  <c r="J57" i="16"/>
  <c r="I57" i="16"/>
  <c r="H57" i="16"/>
  <c r="G57" i="16"/>
  <c r="F57" i="16"/>
  <c r="E57" i="16"/>
  <c r="J56" i="16"/>
  <c r="I56" i="16"/>
  <c r="H56" i="16"/>
  <c r="G56" i="16"/>
  <c r="F56" i="16"/>
  <c r="E56" i="16"/>
  <c r="J55" i="16"/>
  <c r="I55" i="16"/>
  <c r="H55" i="16"/>
  <c r="G55" i="16"/>
  <c r="F55" i="16"/>
  <c r="E55" i="16"/>
  <c r="N55" i="16" s="1"/>
  <c r="J54" i="16"/>
  <c r="I54" i="16"/>
  <c r="H54" i="16"/>
  <c r="G54" i="16"/>
  <c r="F54" i="16"/>
  <c r="E54" i="16"/>
  <c r="M54" i="16" s="1"/>
  <c r="J53" i="16"/>
  <c r="I53" i="16"/>
  <c r="H53" i="16"/>
  <c r="G53" i="16"/>
  <c r="F53" i="16"/>
  <c r="E53" i="16"/>
  <c r="J52" i="16"/>
  <c r="I52" i="16"/>
  <c r="H52" i="16"/>
  <c r="G52" i="16"/>
  <c r="F52" i="16"/>
  <c r="E52" i="16"/>
  <c r="J51" i="16"/>
  <c r="I51" i="16"/>
  <c r="H51" i="16"/>
  <c r="G51" i="16"/>
  <c r="F51" i="16"/>
  <c r="E51" i="16"/>
  <c r="N51" i="16" s="1"/>
  <c r="J50" i="16"/>
  <c r="I50" i="16"/>
  <c r="H50" i="16"/>
  <c r="G50" i="16"/>
  <c r="F50" i="16"/>
  <c r="E50" i="16"/>
  <c r="J49" i="16"/>
  <c r="I49" i="16"/>
  <c r="H49" i="16"/>
  <c r="G49" i="16"/>
  <c r="F49" i="16"/>
  <c r="E49" i="16"/>
  <c r="J48" i="16"/>
  <c r="J68" i="16" s="1"/>
  <c r="I48" i="16"/>
  <c r="H48" i="16"/>
  <c r="G48" i="16"/>
  <c r="F48" i="16"/>
  <c r="F68" i="16" s="1"/>
  <c r="E48" i="16"/>
  <c r="A2" i="16"/>
  <c r="A3" i="15"/>
  <c r="J67" i="15"/>
  <c r="I67" i="15"/>
  <c r="H67" i="15"/>
  <c r="G67" i="15"/>
  <c r="F67" i="15"/>
  <c r="E67" i="15"/>
  <c r="N67" i="15" s="1"/>
  <c r="J66" i="15"/>
  <c r="I66" i="15"/>
  <c r="H66" i="15"/>
  <c r="G66" i="15"/>
  <c r="F66" i="15"/>
  <c r="E66" i="15"/>
  <c r="M66" i="15" s="1"/>
  <c r="J65" i="15"/>
  <c r="I65" i="15"/>
  <c r="H65" i="15"/>
  <c r="G65" i="15"/>
  <c r="F65" i="15"/>
  <c r="E65" i="15"/>
  <c r="J64" i="15"/>
  <c r="I64" i="15"/>
  <c r="H64" i="15"/>
  <c r="G64" i="15"/>
  <c r="F64" i="15"/>
  <c r="E64" i="15"/>
  <c r="O64" i="15" s="1"/>
  <c r="J63" i="15"/>
  <c r="I63" i="15"/>
  <c r="H63" i="15"/>
  <c r="G63" i="15"/>
  <c r="F63" i="15"/>
  <c r="E63" i="15"/>
  <c r="N63" i="15" s="1"/>
  <c r="J62" i="15"/>
  <c r="I62" i="15"/>
  <c r="H62" i="15"/>
  <c r="G62" i="15"/>
  <c r="F62" i="15"/>
  <c r="E62" i="15"/>
  <c r="M62" i="15" s="1"/>
  <c r="J61" i="15"/>
  <c r="I61" i="15"/>
  <c r="H61" i="15"/>
  <c r="G61" i="15"/>
  <c r="F61" i="15"/>
  <c r="E61" i="15"/>
  <c r="M61" i="15" s="1"/>
  <c r="J60" i="15"/>
  <c r="I60" i="15"/>
  <c r="H60" i="15"/>
  <c r="G60" i="15"/>
  <c r="F60" i="15"/>
  <c r="E60" i="15"/>
  <c r="M60" i="15" s="1"/>
  <c r="J59" i="15"/>
  <c r="I59" i="15"/>
  <c r="H59" i="15"/>
  <c r="G59" i="15"/>
  <c r="F59" i="15"/>
  <c r="E59" i="15"/>
  <c r="N59" i="15" s="1"/>
  <c r="J58" i="15"/>
  <c r="I58" i="15"/>
  <c r="H58" i="15"/>
  <c r="G58" i="15"/>
  <c r="F58" i="15"/>
  <c r="E58" i="15"/>
  <c r="M58" i="15" s="1"/>
  <c r="J57" i="15"/>
  <c r="I57" i="15"/>
  <c r="H57" i="15"/>
  <c r="G57" i="15"/>
  <c r="F57" i="15"/>
  <c r="E57" i="15"/>
  <c r="M57" i="15" s="1"/>
  <c r="K56" i="15"/>
  <c r="J56" i="15"/>
  <c r="I56" i="15"/>
  <c r="H56" i="15"/>
  <c r="G56" i="15"/>
  <c r="F56" i="15"/>
  <c r="E56" i="15"/>
  <c r="J55" i="15"/>
  <c r="I55" i="15"/>
  <c r="H55" i="15"/>
  <c r="G55" i="15"/>
  <c r="F55" i="15"/>
  <c r="E55" i="15"/>
  <c r="N55" i="15" s="1"/>
  <c r="J54" i="15"/>
  <c r="I54" i="15"/>
  <c r="H54" i="15"/>
  <c r="G54" i="15"/>
  <c r="F54" i="15"/>
  <c r="E54" i="15"/>
  <c r="M54" i="15" s="1"/>
  <c r="J53" i="15"/>
  <c r="I53" i="15"/>
  <c r="H53" i="15"/>
  <c r="G53" i="15"/>
  <c r="F53" i="15"/>
  <c r="E53" i="15"/>
  <c r="P53" i="15" s="1"/>
  <c r="J52" i="15"/>
  <c r="I52" i="15"/>
  <c r="H52" i="15"/>
  <c r="G52" i="15"/>
  <c r="F52" i="15"/>
  <c r="E52" i="15"/>
  <c r="M52" i="15" s="1"/>
  <c r="K51" i="15"/>
  <c r="J51" i="15"/>
  <c r="I51" i="15"/>
  <c r="H51" i="15"/>
  <c r="G51" i="15"/>
  <c r="F51" i="15"/>
  <c r="E51" i="15"/>
  <c r="N51" i="15" s="1"/>
  <c r="J50" i="15"/>
  <c r="I50" i="15"/>
  <c r="H50" i="15"/>
  <c r="G50" i="15"/>
  <c r="F50" i="15"/>
  <c r="E50" i="15"/>
  <c r="M50" i="15" s="1"/>
  <c r="J49" i="15"/>
  <c r="I49" i="15"/>
  <c r="H49" i="15"/>
  <c r="G49" i="15"/>
  <c r="F49" i="15"/>
  <c r="E49" i="15"/>
  <c r="J48" i="15"/>
  <c r="I48" i="15"/>
  <c r="H48" i="15"/>
  <c r="G48" i="15"/>
  <c r="F48" i="15"/>
  <c r="E48" i="15"/>
  <c r="A2" i="15"/>
  <c r="A3" i="14"/>
  <c r="P67" i="14"/>
  <c r="O67" i="14"/>
  <c r="K67" i="14"/>
  <c r="J67" i="14"/>
  <c r="I67" i="14"/>
  <c r="H67" i="14"/>
  <c r="G67" i="14"/>
  <c r="F67" i="14"/>
  <c r="E67" i="14"/>
  <c r="N67" i="14" s="1"/>
  <c r="J66" i="14"/>
  <c r="I66" i="14"/>
  <c r="H66" i="14"/>
  <c r="G66" i="14"/>
  <c r="F66" i="14"/>
  <c r="E66" i="14"/>
  <c r="M66" i="14" s="1"/>
  <c r="M65" i="14"/>
  <c r="J65" i="14"/>
  <c r="I65" i="14"/>
  <c r="H65" i="14"/>
  <c r="G65" i="14"/>
  <c r="F65" i="14"/>
  <c r="E65" i="14"/>
  <c r="P65" i="14" s="1"/>
  <c r="P64" i="14"/>
  <c r="M64" i="14"/>
  <c r="K64" i="14"/>
  <c r="J64" i="14"/>
  <c r="I64" i="14"/>
  <c r="H64" i="14"/>
  <c r="G64" i="14"/>
  <c r="F64" i="14"/>
  <c r="E64" i="14"/>
  <c r="O64" i="14" s="1"/>
  <c r="P63" i="14"/>
  <c r="O63" i="14"/>
  <c r="K63" i="14"/>
  <c r="J63" i="14"/>
  <c r="I63" i="14"/>
  <c r="H63" i="14"/>
  <c r="G63" i="14"/>
  <c r="F63" i="14"/>
  <c r="E63" i="14"/>
  <c r="N63" i="14" s="1"/>
  <c r="J62" i="14"/>
  <c r="I62" i="14"/>
  <c r="H62" i="14"/>
  <c r="G62" i="14"/>
  <c r="F62" i="14"/>
  <c r="E62" i="14"/>
  <c r="M62" i="14" s="1"/>
  <c r="M61" i="14"/>
  <c r="J61" i="14"/>
  <c r="I61" i="14"/>
  <c r="H61" i="14"/>
  <c r="G61" i="14"/>
  <c r="F61" i="14"/>
  <c r="E61" i="14"/>
  <c r="P61" i="14" s="1"/>
  <c r="P60" i="14"/>
  <c r="M60" i="14"/>
  <c r="K60" i="14"/>
  <c r="J60" i="14"/>
  <c r="I60" i="14"/>
  <c r="H60" i="14"/>
  <c r="G60" i="14"/>
  <c r="F60" i="14"/>
  <c r="E60" i="14"/>
  <c r="O60" i="14" s="1"/>
  <c r="P59" i="14"/>
  <c r="O59" i="14"/>
  <c r="M59" i="14"/>
  <c r="K59" i="14"/>
  <c r="J59" i="14"/>
  <c r="I59" i="14"/>
  <c r="H59" i="14"/>
  <c r="G59" i="14"/>
  <c r="F59" i="14"/>
  <c r="E59" i="14"/>
  <c r="N59" i="14" s="1"/>
  <c r="J58" i="14"/>
  <c r="I58" i="14"/>
  <c r="H58" i="14"/>
  <c r="G58" i="14"/>
  <c r="F58" i="14"/>
  <c r="E58" i="14"/>
  <c r="M58" i="14" s="1"/>
  <c r="M57" i="14"/>
  <c r="J57" i="14"/>
  <c r="I57" i="14"/>
  <c r="H57" i="14"/>
  <c r="G57" i="14"/>
  <c r="F57" i="14"/>
  <c r="E57" i="14"/>
  <c r="P57" i="14" s="1"/>
  <c r="P56" i="14"/>
  <c r="M56" i="14"/>
  <c r="K56" i="14"/>
  <c r="J56" i="14"/>
  <c r="I56" i="14"/>
  <c r="H56" i="14"/>
  <c r="G56" i="14"/>
  <c r="F56" i="14"/>
  <c r="E56" i="14"/>
  <c r="O56" i="14" s="1"/>
  <c r="P55" i="14"/>
  <c r="O55" i="14"/>
  <c r="M55" i="14"/>
  <c r="K55" i="14"/>
  <c r="J55" i="14"/>
  <c r="I55" i="14"/>
  <c r="H55" i="14"/>
  <c r="G55" i="14"/>
  <c r="F55" i="14"/>
  <c r="E55" i="14"/>
  <c r="N55" i="14" s="1"/>
  <c r="J54" i="14"/>
  <c r="I54" i="14"/>
  <c r="H54" i="14"/>
  <c r="G54" i="14"/>
  <c r="F54" i="14"/>
  <c r="E54" i="14"/>
  <c r="M54" i="14" s="1"/>
  <c r="M53" i="14"/>
  <c r="J53" i="14"/>
  <c r="I53" i="14"/>
  <c r="H53" i="14"/>
  <c r="G53" i="14"/>
  <c r="F53" i="14"/>
  <c r="E53" i="14"/>
  <c r="P53" i="14" s="1"/>
  <c r="P52" i="14"/>
  <c r="M52" i="14"/>
  <c r="K52" i="14"/>
  <c r="J52" i="14"/>
  <c r="I52" i="14"/>
  <c r="H52" i="14"/>
  <c r="G52" i="14"/>
  <c r="F52" i="14"/>
  <c r="E52" i="14"/>
  <c r="O52" i="14" s="1"/>
  <c r="P51" i="14"/>
  <c r="O51" i="14"/>
  <c r="M51" i="14"/>
  <c r="K51" i="14"/>
  <c r="J51" i="14"/>
  <c r="I51" i="14"/>
  <c r="H51" i="14"/>
  <c r="G51" i="14"/>
  <c r="F51" i="14"/>
  <c r="E51" i="14"/>
  <c r="N51" i="14" s="1"/>
  <c r="J50" i="14"/>
  <c r="I50" i="14"/>
  <c r="H50" i="14"/>
  <c r="G50" i="14"/>
  <c r="F50" i="14"/>
  <c r="E50" i="14"/>
  <c r="M50" i="14" s="1"/>
  <c r="M49" i="14"/>
  <c r="J49" i="14"/>
  <c r="I49" i="14"/>
  <c r="H49" i="14"/>
  <c r="G49" i="14"/>
  <c r="F49" i="14"/>
  <c r="E49" i="14"/>
  <c r="P49" i="14" s="1"/>
  <c r="M48" i="14"/>
  <c r="J48" i="14"/>
  <c r="J68" i="14" s="1"/>
  <c r="I48" i="14"/>
  <c r="I68" i="14" s="1"/>
  <c r="H48" i="14"/>
  <c r="G48" i="14"/>
  <c r="F48" i="14"/>
  <c r="F68" i="14" s="1"/>
  <c r="E48" i="14"/>
  <c r="P48" i="14" s="1"/>
  <c r="A2" i="14"/>
  <c r="A3" i="13"/>
  <c r="P67" i="13"/>
  <c r="O67" i="13"/>
  <c r="K67" i="13"/>
  <c r="J67" i="13"/>
  <c r="I67" i="13"/>
  <c r="H67" i="13"/>
  <c r="G67" i="13"/>
  <c r="F67" i="13"/>
  <c r="E67" i="13"/>
  <c r="N67" i="13" s="1"/>
  <c r="J66" i="13"/>
  <c r="I66" i="13"/>
  <c r="H66" i="13"/>
  <c r="G66" i="13"/>
  <c r="F66" i="13"/>
  <c r="E66" i="13"/>
  <c r="M66" i="13" s="1"/>
  <c r="M65" i="13"/>
  <c r="J65" i="13"/>
  <c r="I65" i="13"/>
  <c r="H65" i="13"/>
  <c r="G65" i="13"/>
  <c r="F65" i="13"/>
  <c r="E65" i="13"/>
  <c r="P65" i="13" s="1"/>
  <c r="P64" i="13"/>
  <c r="M64" i="13"/>
  <c r="K64" i="13"/>
  <c r="J64" i="13"/>
  <c r="I64" i="13"/>
  <c r="H64" i="13"/>
  <c r="O64" i="13" s="1"/>
  <c r="G64" i="13"/>
  <c r="F64" i="13"/>
  <c r="E64" i="13"/>
  <c r="N64" i="13" s="1"/>
  <c r="P63" i="13"/>
  <c r="O63" i="13"/>
  <c r="K63" i="13"/>
  <c r="J63" i="13"/>
  <c r="I63" i="13"/>
  <c r="H63" i="13"/>
  <c r="G63" i="13"/>
  <c r="F63" i="13"/>
  <c r="E63" i="13"/>
  <c r="N63" i="13" s="1"/>
  <c r="J62" i="13"/>
  <c r="I62" i="13"/>
  <c r="H62" i="13"/>
  <c r="G62" i="13"/>
  <c r="F62" i="13"/>
  <c r="E62" i="13"/>
  <c r="M62" i="13" s="1"/>
  <c r="M61" i="13"/>
  <c r="J61" i="13"/>
  <c r="I61" i="13"/>
  <c r="H61" i="13"/>
  <c r="G61" i="13"/>
  <c r="F61" i="13"/>
  <c r="E61" i="13"/>
  <c r="P61" i="13" s="1"/>
  <c r="P60" i="13"/>
  <c r="M60" i="13"/>
  <c r="K60" i="13"/>
  <c r="J60" i="13"/>
  <c r="I60" i="13"/>
  <c r="H60" i="13"/>
  <c r="O60" i="13" s="1"/>
  <c r="G60" i="13"/>
  <c r="F60" i="13"/>
  <c r="E60" i="13"/>
  <c r="N60" i="13" s="1"/>
  <c r="P59" i="13"/>
  <c r="O59" i="13"/>
  <c r="K59" i="13"/>
  <c r="J59" i="13"/>
  <c r="I59" i="13"/>
  <c r="H59" i="13"/>
  <c r="G59" i="13"/>
  <c r="F59" i="13"/>
  <c r="E59" i="13"/>
  <c r="N59" i="13" s="1"/>
  <c r="J58" i="13"/>
  <c r="I58" i="13"/>
  <c r="H58" i="13"/>
  <c r="G58" i="13"/>
  <c r="F58" i="13"/>
  <c r="E58" i="13"/>
  <c r="M58" i="13" s="1"/>
  <c r="M57" i="13"/>
  <c r="J57" i="13"/>
  <c r="I57" i="13"/>
  <c r="H57" i="13"/>
  <c r="G57" i="13"/>
  <c r="F57" i="13"/>
  <c r="E57" i="13"/>
  <c r="P57" i="13" s="1"/>
  <c r="P56" i="13"/>
  <c r="M56" i="13"/>
  <c r="K56" i="13"/>
  <c r="J56" i="13"/>
  <c r="I56" i="13"/>
  <c r="H56" i="13"/>
  <c r="O56" i="13" s="1"/>
  <c r="G56" i="13"/>
  <c r="F56" i="13"/>
  <c r="E56" i="13"/>
  <c r="N56" i="13" s="1"/>
  <c r="P55" i="13"/>
  <c r="O55" i="13"/>
  <c r="K55" i="13"/>
  <c r="J55" i="13"/>
  <c r="I55" i="13"/>
  <c r="H55" i="13"/>
  <c r="G55" i="13"/>
  <c r="F55" i="13"/>
  <c r="E55" i="13"/>
  <c r="N55" i="13" s="1"/>
  <c r="J54" i="13"/>
  <c r="I54" i="13"/>
  <c r="H54" i="13"/>
  <c r="G54" i="13"/>
  <c r="F54" i="13"/>
  <c r="E54" i="13"/>
  <c r="M54" i="13" s="1"/>
  <c r="M53" i="13"/>
  <c r="J53" i="13"/>
  <c r="I53" i="13"/>
  <c r="H53" i="13"/>
  <c r="G53" i="13"/>
  <c r="F53" i="13"/>
  <c r="E53" i="13"/>
  <c r="P53" i="13" s="1"/>
  <c r="P52" i="13"/>
  <c r="M52" i="13"/>
  <c r="K52" i="13"/>
  <c r="J52" i="13"/>
  <c r="I52" i="13"/>
  <c r="H52" i="13"/>
  <c r="O52" i="13" s="1"/>
  <c r="G52" i="13"/>
  <c r="F52" i="13"/>
  <c r="E52" i="13"/>
  <c r="N52" i="13" s="1"/>
  <c r="O51" i="13"/>
  <c r="J51" i="13"/>
  <c r="I51" i="13"/>
  <c r="H51" i="13"/>
  <c r="G51" i="13"/>
  <c r="F51" i="13"/>
  <c r="E51" i="13"/>
  <c r="N51" i="13" s="1"/>
  <c r="J50" i="13"/>
  <c r="I50" i="13"/>
  <c r="H50" i="13"/>
  <c r="G50" i="13"/>
  <c r="F50" i="13"/>
  <c r="E50" i="13"/>
  <c r="M50" i="13" s="1"/>
  <c r="M49" i="13"/>
  <c r="K49" i="13"/>
  <c r="J49" i="13"/>
  <c r="I49" i="13"/>
  <c r="H49" i="13"/>
  <c r="P49" i="13" s="1"/>
  <c r="G49" i="13"/>
  <c r="F49" i="13"/>
  <c r="E49" i="13"/>
  <c r="O49" i="13" s="1"/>
  <c r="J48" i="13"/>
  <c r="J68" i="13" s="1"/>
  <c r="I48" i="13"/>
  <c r="I68" i="13" s="1"/>
  <c r="H48" i="13"/>
  <c r="H68" i="13" s="1"/>
  <c r="G48" i="13"/>
  <c r="F48" i="13"/>
  <c r="F68" i="13" s="1"/>
  <c r="E48" i="13"/>
  <c r="E68" i="13" s="1"/>
  <c r="A2" i="13"/>
  <c r="A3" i="12"/>
  <c r="J67" i="12"/>
  <c r="I67" i="12"/>
  <c r="H67" i="12"/>
  <c r="G67" i="12"/>
  <c r="F67" i="12"/>
  <c r="E67" i="12"/>
  <c r="N67" i="12" s="1"/>
  <c r="J66" i="12"/>
  <c r="I66" i="12"/>
  <c r="H66" i="12"/>
  <c r="G66" i="12"/>
  <c r="F66" i="12"/>
  <c r="E66" i="12"/>
  <c r="M66" i="12" s="1"/>
  <c r="J65" i="12"/>
  <c r="I65" i="12"/>
  <c r="H65" i="12"/>
  <c r="G65" i="12"/>
  <c r="F65" i="12"/>
  <c r="E65" i="12"/>
  <c r="O65" i="12" s="1"/>
  <c r="J64" i="12"/>
  <c r="I64" i="12"/>
  <c r="H64" i="12"/>
  <c r="G64" i="12"/>
  <c r="F64" i="12"/>
  <c r="E64" i="12"/>
  <c r="J63" i="12"/>
  <c r="I63" i="12"/>
  <c r="H63" i="12"/>
  <c r="G63" i="12"/>
  <c r="F63" i="12"/>
  <c r="E63" i="12"/>
  <c r="N63" i="12" s="1"/>
  <c r="J62" i="12"/>
  <c r="I62" i="12"/>
  <c r="H62" i="12"/>
  <c r="G62" i="12"/>
  <c r="F62" i="12"/>
  <c r="E62" i="12"/>
  <c r="M62" i="12" s="1"/>
  <c r="M61" i="12"/>
  <c r="J61" i="12"/>
  <c r="I61" i="12"/>
  <c r="H61" i="12"/>
  <c r="P61" i="12" s="1"/>
  <c r="G61" i="12"/>
  <c r="F61" i="12"/>
  <c r="E61" i="12"/>
  <c r="J60" i="12"/>
  <c r="I60" i="12"/>
  <c r="H60" i="12"/>
  <c r="G60" i="12"/>
  <c r="F60" i="12"/>
  <c r="E60" i="12"/>
  <c r="J59" i="12"/>
  <c r="I59" i="12"/>
  <c r="H59" i="12"/>
  <c r="G59" i="12"/>
  <c r="F59" i="12"/>
  <c r="E59" i="12"/>
  <c r="N59" i="12" s="1"/>
  <c r="J58" i="12"/>
  <c r="I58" i="12"/>
  <c r="H58" i="12"/>
  <c r="G58" i="12"/>
  <c r="F58" i="12"/>
  <c r="E58" i="12"/>
  <c r="M58" i="12" s="1"/>
  <c r="J57" i="12"/>
  <c r="I57" i="12"/>
  <c r="H57" i="12"/>
  <c r="G57" i="12"/>
  <c r="F57" i="12"/>
  <c r="E57" i="12"/>
  <c r="N57" i="12" s="1"/>
  <c r="J56" i="12"/>
  <c r="I56" i="12"/>
  <c r="H56" i="12"/>
  <c r="G56" i="12"/>
  <c r="F56" i="12"/>
  <c r="E56" i="12"/>
  <c r="O56" i="12" s="1"/>
  <c r="J55" i="12"/>
  <c r="I55" i="12"/>
  <c r="H55" i="12"/>
  <c r="G55" i="12"/>
  <c r="F55" i="12"/>
  <c r="E55" i="12"/>
  <c r="N55" i="12" s="1"/>
  <c r="J54" i="12"/>
  <c r="I54" i="12"/>
  <c r="H54" i="12"/>
  <c r="G54" i="12"/>
  <c r="F54" i="12"/>
  <c r="E54" i="12"/>
  <c r="M54" i="12" s="1"/>
  <c r="J53" i="12"/>
  <c r="I53" i="12"/>
  <c r="H53" i="12"/>
  <c r="G53" i="12"/>
  <c r="F53" i="12"/>
  <c r="E53" i="12"/>
  <c r="J52" i="12"/>
  <c r="I52" i="12"/>
  <c r="H52" i="12"/>
  <c r="G52" i="12"/>
  <c r="F52" i="12"/>
  <c r="E52" i="12"/>
  <c r="O52" i="12" s="1"/>
  <c r="J51" i="12"/>
  <c r="I51" i="12"/>
  <c r="H51" i="12"/>
  <c r="G51" i="12"/>
  <c r="F51" i="12"/>
  <c r="E51" i="12"/>
  <c r="N51" i="12" s="1"/>
  <c r="J50" i="12"/>
  <c r="I50" i="12"/>
  <c r="H50" i="12"/>
  <c r="G50" i="12"/>
  <c r="F50" i="12"/>
  <c r="E50" i="12"/>
  <c r="M50" i="12" s="1"/>
  <c r="J49" i="12"/>
  <c r="I49" i="12"/>
  <c r="H49" i="12"/>
  <c r="G49" i="12"/>
  <c r="F49" i="12"/>
  <c r="E49" i="12"/>
  <c r="J48" i="12"/>
  <c r="I48" i="12"/>
  <c r="H48" i="12"/>
  <c r="G48" i="12"/>
  <c r="F48" i="12"/>
  <c r="E48" i="12"/>
  <c r="P48" i="12" s="1"/>
  <c r="A2" i="12"/>
  <c r="E49" i="2"/>
  <c r="F49" i="2"/>
  <c r="G49" i="2"/>
  <c r="H49" i="2"/>
  <c r="P49" i="2" s="1"/>
  <c r="I49" i="2"/>
  <c r="J49" i="2"/>
  <c r="E50" i="2"/>
  <c r="F50" i="2"/>
  <c r="G50" i="2"/>
  <c r="H50" i="2"/>
  <c r="P50" i="2" s="1"/>
  <c r="I50" i="2"/>
  <c r="J50" i="2"/>
  <c r="E51" i="2"/>
  <c r="F51" i="2"/>
  <c r="G51" i="2"/>
  <c r="H51" i="2"/>
  <c r="P51" i="2" s="1"/>
  <c r="I51" i="2"/>
  <c r="J51" i="2"/>
  <c r="E52" i="2"/>
  <c r="F52" i="2"/>
  <c r="G52" i="2"/>
  <c r="H52" i="2"/>
  <c r="O52" i="2" s="1"/>
  <c r="I52" i="2"/>
  <c r="J52" i="2"/>
  <c r="E53" i="2"/>
  <c r="F53" i="2"/>
  <c r="G53" i="2"/>
  <c r="H53" i="2"/>
  <c r="P53" i="2" s="1"/>
  <c r="I53" i="2"/>
  <c r="J53" i="2"/>
  <c r="E54" i="2"/>
  <c r="F54" i="2"/>
  <c r="G54" i="2"/>
  <c r="H54" i="2"/>
  <c r="P54" i="2" s="1"/>
  <c r="I54" i="2"/>
  <c r="J54" i="2"/>
  <c r="E55" i="2"/>
  <c r="F55" i="2"/>
  <c r="G55" i="2"/>
  <c r="H55" i="2"/>
  <c r="I55" i="2"/>
  <c r="J55" i="2"/>
  <c r="E56" i="2"/>
  <c r="F56" i="2"/>
  <c r="G56" i="2"/>
  <c r="H56" i="2"/>
  <c r="I56" i="2"/>
  <c r="J56" i="2"/>
  <c r="E57" i="2"/>
  <c r="F57" i="2"/>
  <c r="G57" i="2"/>
  <c r="H57" i="2"/>
  <c r="O57" i="2" s="1"/>
  <c r="I57" i="2"/>
  <c r="J57" i="2"/>
  <c r="E58" i="2"/>
  <c r="F58" i="2"/>
  <c r="G58" i="2"/>
  <c r="H58" i="2"/>
  <c r="I58" i="2"/>
  <c r="J58" i="2"/>
  <c r="E59" i="2"/>
  <c r="F59" i="2"/>
  <c r="G59" i="2"/>
  <c r="H59" i="2"/>
  <c r="I59" i="2"/>
  <c r="J59" i="2"/>
  <c r="E60" i="2"/>
  <c r="F60" i="2"/>
  <c r="G60" i="2"/>
  <c r="H60" i="2"/>
  <c r="I60" i="2"/>
  <c r="J60" i="2"/>
  <c r="E61" i="2"/>
  <c r="F61" i="2"/>
  <c r="G61" i="2"/>
  <c r="H61" i="2"/>
  <c r="O61" i="2" s="1"/>
  <c r="I61" i="2"/>
  <c r="J61" i="2"/>
  <c r="E62" i="2"/>
  <c r="F62" i="2"/>
  <c r="G62" i="2"/>
  <c r="H62" i="2"/>
  <c r="I62" i="2"/>
  <c r="J62" i="2"/>
  <c r="E63" i="2"/>
  <c r="F63" i="2"/>
  <c r="G63" i="2"/>
  <c r="H63" i="2"/>
  <c r="I63" i="2"/>
  <c r="J63" i="2"/>
  <c r="E64" i="2"/>
  <c r="F64" i="2"/>
  <c r="G64" i="2"/>
  <c r="H64" i="2"/>
  <c r="I64" i="2"/>
  <c r="J64" i="2"/>
  <c r="E65" i="2"/>
  <c r="F65" i="2"/>
  <c r="G65" i="2"/>
  <c r="H65" i="2"/>
  <c r="I65" i="2"/>
  <c r="J65" i="2"/>
  <c r="E66" i="2"/>
  <c r="F66" i="2"/>
  <c r="G66" i="2"/>
  <c r="H66" i="2"/>
  <c r="I66" i="2"/>
  <c r="J66" i="2"/>
  <c r="E67" i="2"/>
  <c r="F67" i="2"/>
  <c r="G67" i="2"/>
  <c r="H67" i="2"/>
  <c r="I67" i="2"/>
  <c r="J67" i="2"/>
  <c r="H48" i="2"/>
  <c r="J48" i="2"/>
  <c r="I48" i="2"/>
  <c r="G48" i="2"/>
  <c r="F48" i="2"/>
  <c r="E48" i="2"/>
  <c r="J27" i="1"/>
  <c r="I25" i="1"/>
  <c r="F25" i="1"/>
  <c r="G29" i="1"/>
  <c r="E24" i="1"/>
  <c r="D29" i="1"/>
  <c r="F26" i="1"/>
  <c r="J25" i="1"/>
  <c r="E31" i="1"/>
  <c r="D25" i="1"/>
  <c r="D27" i="1"/>
  <c r="I26" i="1"/>
  <c r="J32" i="1"/>
  <c r="H30" i="1"/>
  <c r="G25" i="1"/>
  <c r="F24" i="1"/>
  <c r="J30" i="1"/>
  <c r="D24" i="1"/>
  <c r="H25" i="1"/>
  <c r="H24" i="1"/>
  <c r="D26" i="1"/>
  <c r="J33" i="1"/>
  <c r="I24" i="1"/>
  <c r="E32" i="1"/>
  <c r="I30" i="1"/>
  <c r="E29" i="1"/>
  <c r="H27" i="1"/>
  <c r="H23" i="1"/>
  <c r="I27" i="1"/>
  <c r="F31" i="1"/>
  <c r="I29" i="1"/>
  <c r="F29" i="1"/>
  <c r="E23" i="1"/>
  <c r="E30" i="1"/>
  <c r="I32" i="1"/>
  <c r="H29" i="1"/>
  <c r="J26" i="1"/>
  <c r="G26" i="1"/>
  <c r="G33" i="1"/>
  <c r="F27" i="1"/>
  <c r="F32" i="1"/>
  <c r="G32" i="1"/>
  <c r="D30" i="1"/>
  <c r="F33" i="1"/>
  <c r="E26" i="1"/>
  <c r="G24" i="1"/>
  <c r="H26" i="1"/>
  <c r="J24" i="1"/>
  <c r="D23" i="1"/>
  <c r="D33" i="1"/>
  <c r="G31" i="1"/>
  <c r="D31" i="1"/>
  <c r="J23" i="1"/>
  <c r="E27" i="1"/>
  <c r="H33" i="1"/>
  <c r="D32" i="1"/>
  <c r="H31" i="1"/>
  <c r="G23" i="1"/>
  <c r="G27" i="1"/>
  <c r="F23" i="1"/>
  <c r="J31" i="1"/>
  <c r="F30" i="1"/>
  <c r="J29" i="1"/>
  <c r="I23" i="1"/>
  <c r="G30" i="1"/>
  <c r="I33" i="1"/>
  <c r="I31" i="1"/>
  <c r="E33" i="1"/>
  <c r="H32" i="1"/>
  <c r="E25" i="1"/>
  <c r="M50" i="16" l="1"/>
  <c r="M48" i="16"/>
  <c r="I68" i="16"/>
  <c r="I69" i="16" s="1"/>
  <c r="O59" i="16"/>
  <c r="P56" i="16"/>
  <c r="P60" i="16"/>
  <c r="O55" i="16"/>
  <c r="O67" i="16"/>
  <c r="O63" i="16"/>
  <c r="P48" i="16"/>
  <c r="O51" i="16"/>
  <c r="P52" i="16"/>
  <c r="O56" i="16"/>
  <c r="P57" i="16"/>
  <c r="P49" i="16"/>
  <c r="P65" i="16"/>
  <c r="O52" i="16"/>
  <c r="P53" i="16"/>
  <c r="O60" i="16"/>
  <c r="P61" i="16"/>
  <c r="O64" i="16"/>
  <c r="P64" i="16"/>
  <c r="K52" i="16"/>
  <c r="M53" i="16"/>
  <c r="K56" i="16"/>
  <c r="M57" i="16"/>
  <c r="K60" i="16"/>
  <c r="M61" i="16"/>
  <c r="K64" i="16"/>
  <c r="O48" i="21"/>
  <c r="P48" i="21"/>
  <c r="O68" i="21"/>
  <c r="N68" i="21"/>
  <c r="M68" i="21"/>
  <c r="P68" i="21"/>
  <c r="K68" i="21"/>
  <c r="O51" i="21"/>
  <c r="N54" i="21"/>
  <c r="N58" i="21"/>
  <c r="N66" i="21"/>
  <c r="G68" i="21"/>
  <c r="G69" i="21" s="1"/>
  <c r="H69" i="21"/>
  <c r="N50" i="21"/>
  <c r="N62" i="21"/>
  <c r="M48" i="21"/>
  <c r="O50" i="21"/>
  <c r="K51" i="21"/>
  <c r="P51" i="21"/>
  <c r="M52" i="21"/>
  <c r="O54" i="21"/>
  <c r="K55" i="21"/>
  <c r="P55" i="21"/>
  <c r="M56" i="21"/>
  <c r="O58" i="21"/>
  <c r="K59" i="21"/>
  <c r="P59" i="21"/>
  <c r="M60" i="21"/>
  <c r="O62" i="21"/>
  <c r="K63" i="21"/>
  <c r="P63" i="21"/>
  <c r="M64" i="21"/>
  <c r="N65" i="21"/>
  <c r="O66" i="21"/>
  <c r="K67" i="21"/>
  <c r="P67" i="21"/>
  <c r="E69" i="21"/>
  <c r="I69" i="21"/>
  <c r="N48" i="21"/>
  <c r="O49" i="21"/>
  <c r="K50" i="21"/>
  <c r="K69" i="21" s="1"/>
  <c r="M51" i="21"/>
  <c r="O53" i="21"/>
  <c r="K54" i="21"/>
  <c r="P54" i="21"/>
  <c r="M55" i="21"/>
  <c r="O57" i="21"/>
  <c r="K58" i="21"/>
  <c r="P58" i="21"/>
  <c r="M59" i="21"/>
  <c r="O61" i="21"/>
  <c r="K62" i="21"/>
  <c r="P62" i="21"/>
  <c r="M63" i="21"/>
  <c r="N64" i="21"/>
  <c r="K66" i="21"/>
  <c r="P66" i="21"/>
  <c r="M67" i="21"/>
  <c r="F69" i="21"/>
  <c r="J69" i="21"/>
  <c r="O48" i="20"/>
  <c r="N68" i="20"/>
  <c r="M68" i="20"/>
  <c r="P68" i="20"/>
  <c r="K68" i="20"/>
  <c r="O68" i="20"/>
  <c r="G69" i="20"/>
  <c r="N67" i="20"/>
  <c r="J68" i="20"/>
  <c r="J69" i="20" s="1"/>
  <c r="K48" i="20"/>
  <c r="P48" i="20"/>
  <c r="M49" i="20"/>
  <c r="N50" i="20"/>
  <c r="O51" i="20"/>
  <c r="K52" i="20"/>
  <c r="P52" i="20"/>
  <c r="M53" i="20"/>
  <c r="N54" i="20"/>
  <c r="O55" i="20"/>
  <c r="K56" i="20"/>
  <c r="P56" i="20"/>
  <c r="M57" i="20"/>
  <c r="N58" i="20"/>
  <c r="O59" i="20"/>
  <c r="K60" i="20"/>
  <c r="P60" i="20"/>
  <c r="M61" i="20"/>
  <c r="N62" i="20"/>
  <c r="O63" i="20"/>
  <c r="K64" i="20"/>
  <c r="P64" i="20"/>
  <c r="M65" i="20"/>
  <c r="N66" i="20"/>
  <c r="O67" i="20"/>
  <c r="H69" i="20"/>
  <c r="N51" i="20"/>
  <c r="N59" i="20"/>
  <c r="F68" i="20"/>
  <c r="F69" i="20" s="1"/>
  <c r="M48" i="20"/>
  <c r="N49" i="20"/>
  <c r="K51" i="20"/>
  <c r="P51" i="20"/>
  <c r="M52" i="20"/>
  <c r="N53" i="20"/>
  <c r="K55" i="20"/>
  <c r="P55" i="20"/>
  <c r="M56" i="20"/>
  <c r="N57" i="20"/>
  <c r="O58" i="20"/>
  <c r="K59" i="20"/>
  <c r="P59" i="20"/>
  <c r="M60" i="20"/>
  <c r="N61" i="20"/>
  <c r="O62" i="20"/>
  <c r="K63" i="20"/>
  <c r="P63" i="20"/>
  <c r="M64" i="20"/>
  <c r="N65" i="20"/>
  <c r="O66" i="20"/>
  <c r="K67" i="20"/>
  <c r="P67" i="20"/>
  <c r="E69" i="20"/>
  <c r="I69" i="20"/>
  <c r="N55" i="20"/>
  <c r="N63" i="20"/>
  <c r="N48" i="20"/>
  <c r="K58" i="20"/>
  <c r="K62" i="20"/>
  <c r="K66" i="20"/>
  <c r="P49" i="19"/>
  <c r="P57" i="19"/>
  <c r="K65" i="19"/>
  <c r="O64" i="19"/>
  <c r="P60" i="19"/>
  <c r="K64" i="19"/>
  <c r="M49" i="19"/>
  <c r="O49" i="19"/>
  <c r="K48" i="19"/>
  <c r="P48" i="19"/>
  <c r="H68" i="19"/>
  <c r="M51" i="19"/>
  <c r="K52" i="19"/>
  <c r="O60" i="19"/>
  <c r="O61" i="19"/>
  <c r="O63" i="19"/>
  <c r="P64" i="19"/>
  <c r="P65" i="19"/>
  <c r="M65" i="19"/>
  <c r="I68" i="19"/>
  <c r="I69" i="19" s="1"/>
  <c r="O51" i="19"/>
  <c r="M55" i="19"/>
  <c r="K56" i="19"/>
  <c r="M57" i="19"/>
  <c r="O67" i="19"/>
  <c r="F68" i="19"/>
  <c r="F69" i="19" s="1"/>
  <c r="J68" i="19"/>
  <c r="O52" i="19"/>
  <c r="P53" i="19"/>
  <c r="O55" i="19"/>
  <c r="P56" i="19"/>
  <c r="O57" i="19"/>
  <c r="M59" i="19"/>
  <c r="K60" i="19"/>
  <c r="K61" i="19"/>
  <c r="N58" i="19"/>
  <c r="N66" i="19"/>
  <c r="G68" i="19"/>
  <c r="G69" i="19" s="1"/>
  <c r="H69" i="19"/>
  <c r="M48" i="19"/>
  <c r="N49" i="19"/>
  <c r="O50" i="19"/>
  <c r="K51" i="19"/>
  <c r="P51" i="19"/>
  <c r="M52" i="19"/>
  <c r="N53" i="19"/>
  <c r="O54" i="19"/>
  <c r="K55" i="19"/>
  <c r="P55" i="19"/>
  <c r="M56" i="19"/>
  <c r="N57" i="19"/>
  <c r="O58" i="19"/>
  <c r="K59" i="19"/>
  <c r="P59" i="19"/>
  <c r="M60" i="19"/>
  <c r="N61" i="19"/>
  <c r="O62" i="19"/>
  <c r="K63" i="19"/>
  <c r="P63" i="19"/>
  <c r="M64" i="19"/>
  <c r="N65" i="19"/>
  <c r="O66" i="19"/>
  <c r="K67" i="19"/>
  <c r="P67" i="19"/>
  <c r="N50" i="19"/>
  <c r="N62" i="19"/>
  <c r="K50" i="19"/>
  <c r="P50" i="19"/>
  <c r="N52" i="19"/>
  <c r="K54" i="19"/>
  <c r="P54" i="19"/>
  <c r="N56" i="19"/>
  <c r="K58" i="19"/>
  <c r="P58" i="19"/>
  <c r="N60" i="19"/>
  <c r="K62" i="19"/>
  <c r="P62" i="19"/>
  <c r="M63" i="19"/>
  <c r="N64" i="19"/>
  <c r="K66" i="19"/>
  <c r="P66" i="19"/>
  <c r="M67" i="19"/>
  <c r="E68" i="19"/>
  <c r="J69" i="19"/>
  <c r="N54" i="19"/>
  <c r="N48" i="19"/>
  <c r="K49" i="19"/>
  <c r="K53" i="19"/>
  <c r="K57" i="19"/>
  <c r="O64" i="18"/>
  <c r="K67" i="18"/>
  <c r="K52" i="18"/>
  <c r="O55" i="18"/>
  <c r="O51" i="18"/>
  <c r="P55" i="18"/>
  <c r="O60" i="18"/>
  <c r="P60" i="18"/>
  <c r="K63" i="18"/>
  <c r="P65" i="18"/>
  <c r="O67" i="18"/>
  <c r="P59" i="18"/>
  <c r="P64" i="18"/>
  <c r="F68" i="18"/>
  <c r="F69" i="18" s="1"/>
  <c r="P49" i="18"/>
  <c r="K48" i="18"/>
  <c r="P51" i="18"/>
  <c r="M52" i="18"/>
  <c r="M53" i="18"/>
  <c r="O56" i="18"/>
  <c r="P56" i="18"/>
  <c r="K59" i="18"/>
  <c r="P61" i="18"/>
  <c r="O63" i="18"/>
  <c r="K64" i="18"/>
  <c r="P67" i="18"/>
  <c r="P48" i="18"/>
  <c r="J68" i="18"/>
  <c r="J69" i="18" s="1"/>
  <c r="O48" i="18"/>
  <c r="M48" i="18"/>
  <c r="M49" i="18"/>
  <c r="P52" i="18"/>
  <c r="K55" i="18"/>
  <c r="P57" i="18"/>
  <c r="O59" i="18"/>
  <c r="K60" i="18"/>
  <c r="P63" i="18"/>
  <c r="M64" i="18"/>
  <c r="M65" i="18"/>
  <c r="N68" i="18"/>
  <c r="M68" i="18"/>
  <c r="K68" i="18"/>
  <c r="N58" i="18"/>
  <c r="N62" i="18"/>
  <c r="N66" i="18"/>
  <c r="G68" i="18"/>
  <c r="G69" i="18" s="1"/>
  <c r="N50" i="18"/>
  <c r="O50" i="18"/>
  <c r="N57" i="18"/>
  <c r="O58" i="18"/>
  <c r="N61" i="18"/>
  <c r="O62" i="18"/>
  <c r="N65" i="18"/>
  <c r="O66" i="18"/>
  <c r="H68" i="18"/>
  <c r="O68" i="18" s="1"/>
  <c r="E69" i="18"/>
  <c r="I69" i="18"/>
  <c r="N49" i="18"/>
  <c r="N53" i="18"/>
  <c r="N48" i="18"/>
  <c r="O49" i="18"/>
  <c r="K50" i="18"/>
  <c r="P50" i="18"/>
  <c r="M51" i="18"/>
  <c r="O53" i="18"/>
  <c r="K54" i="18"/>
  <c r="P54" i="18"/>
  <c r="M55" i="18"/>
  <c r="N56" i="18"/>
  <c r="O57" i="18"/>
  <c r="K58" i="18"/>
  <c r="P58" i="18"/>
  <c r="M59" i="18"/>
  <c r="N60" i="18"/>
  <c r="O61" i="18"/>
  <c r="K62" i="18"/>
  <c r="P62" i="18"/>
  <c r="M63" i="18"/>
  <c r="N64" i="18"/>
  <c r="O65" i="18"/>
  <c r="K66" i="18"/>
  <c r="P66" i="18"/>
  <c r="M67" i="18"/>
  <c r="N54" i="18"/>
  <c r="O54" i="18"/>
  <c r="K49" i="18"/>
  <c r="K53" i="18"/>
  <c r="K57" i="18"/>
  <c r="K61" i="18"/>
  <c r="K65" i="18"/>
  <c r="O64" i="17"/>
  <c r="K53" i="17"/>
  <c r="K65" i="17"/>
  <c r="O52" i="17"/>
  <c r="O56" i="17"/>
  <c r="O59" i="17"/>
  <c r="P60" i="17"/>
  <c r="K64" i="17"/>
  <c r="K49" i="17"/>
  <c r="K48" i="17"/>
  <c r="P48" i="17"/>
  <c r="H68" i="17"/>
  <c r="H69" i="17" s="1"/>
  <c r="P49" i="17"/>
  <c r="M49" i="17"/>
  <c r="K52" i="17"/>
  <c r="O60" i="17"/>
  <c r="O63" i="17"/>
  <c r="P64" i="17"/>
  <c r="P65" i="17"/>
  <c r="M65" i="17"/>
  <c r="I68" i="17"/>
  <c r="I69" i="17" s="1"/>
  <c r="O51" i="17"/>
  <c r="P52" i="17"/>
  <c r="P53" i="17"/>
  <c r="M53" i="17"/>
  <c r="K56" i="17"/>
  <c r="K57" i="17"/>
  <c r="O67" i="17"/>
  <c r="F68" i="17"/>
  <c r="F69" i="17" s="1"/>
  <c r="J68" i="17"/>
  <c r="J69" i="17" s="1"/>
  <c r="O55" i="17"/>
  <c r="P56" i="17"/>
  <c r="P57" i="17"/>
  <c r="M57" i="17"/>
  <c r="K60" i="17"/>
  <c r="K61" i="17"/>
  <c r="N50" i="17"/>
  <c r="N58" i="17"/>
  <c r="G68" i="17"/>
  <c r="G69" i="17" s="1"/>
  <c r="M48" i="17"/>
  <c r="N49" i="17"/>
  <c r="O50" i="17"/>
  <c r="K51" i="17"/>
  <c r="P51" i="17"/>
  <c r="M52" i="17"/>
  <c r="O54" i="17"/>
  <c r="K55" i="17"/>
  <c r="P55" i="17"/>
  <c r="M56" i="17"/>
  <c r="O58" i="17"/>
  <c r="K59" i="17"/>
  <c r="P59" i="17"/>
  <c r="M60" i="17"/>
  <c r="O62" i="17"/>
  <c r="K63" i="17"/>
  <c r="P63" i="17"/>
  <c r="M64" i="17"/>
  <c r="N65" i="17"/>
  <c r="O66" i="17"/>
  <c r="K67" i="17"/>
  <c r="P67" i="17"/>
  <c r="N54" i="17"/>
  <c r="N66" i="17"/>
  <c r="N48" i="17"/>
  <c r="K50" i="17"/>
  <c r="P50" i="17"/>
  <c r="M51" i="17"/>
  <c r="N52" i="17"/>
  <c r="O53" i="17"/>
  <c r="K54" i="17"/>
  <c r="P54" i="17"/>
  <c r="M55" i="17"/>
  <c r="N56" i="17"/>
  <c r="O57" i="17"/>
  <c r="K58" i="17"/>
  <c r="P58" i="17"/>
  <c r="M59" i="17"/>
  <c r="N60" i="17"/>
  <c r="O61" i="17"/>
  <c r="K62" i="17"/>
  <c r="P62" i="17"/>
  <c r="M63" i="17"/>
  <c r="N64" i="17"/>
  <c r="K66" i="17"/>
  <c r="P66" i="17"/>
  <c r="M67" i="17"/>
  <c r="E68" i="17"/>
  <c r="E69" i="17" s="1"/>
  <c r="N62" i="17"/>
  <c r="M49" i="16"/>
  <c r="O48" i="16"/>
  <c r="K48" i="16"/>
  <c r="N58" i="16"/>
  <c r="N49" i="16"/>
  <c r="O50" i="16"/>
  <c r="K51" i="16"/>
  <c r="P51" i="16"/>
  <c r="M52" i="16"/>
  <c r="N53" i="16"/>
  <c r="O54" i="16"/>
  <c r="K55" i="16"/>
  <c r="P55" i="16"/>
  <c r="M56" i="16"/>
  <c r="N57" i="16"/>
  <c r="O58" i="16"/>
  <c r="K59" i="16"/>
  <c r="P59" i="16"/>
  <c r="M60" i="16"/>
  <c r="N61" i="16"/>
  <c r="O62" i="16"/>
  <c r="K63" i="16"/>
  <c r="P63" i="16"/>
  <c r="N65" i="16"/>
  <c r="O66" i="16"/>
  <c r="K67" i="16"/>
  <c r="P67" i="16"/>
  <c r="H68" i="16"/>
  <c r="H69" i="16" s="1"/>
  <c r="N50" i="16"/>
  <c r="N66" i="16"/>
  <c r="N48" i="16"/>
  <c r="O49" i="16"/>
  <c r="K50" i="16"/>
  <c r="P50" i="16"/>
  <c r="M51" i="16"/>
  <c r="N52" i="16"/>
  <c r="O53" i="16"/>
  <c r="K54" i="16"/>
  <c r="P54" i="16"/>
  <c r="M55" i="16"/>
  <c r="N56" i="16"/>
  <c r="O57" i="16"/>
  <c r="K58" i="16"/>
  <c r="P58" i="16"/>
  <c r="M59" i="16"/>
  <c r="N60" i="16"/>
  <c r="O61" i="16"/>
  <c r="K62" i="16"/>
  <c r="P62" i="16"/>
  <c r="M63" i="16"/>
  <c r="N64" i="16"/>
  <c r="O65" i="16"/>
  <c r="K66" i="16"/>
  <c r="P66" i="16"/>
  <c r="M67" i="16"/>
  <c r="E68" i="16"/>
  <c r="F69" i="16"/>
  <c r="J69" i="16"/>
  <c r="N54" i="16"/>
  <c r="N62" i="16"/>
  <c r="G68" i="16"/>
  <c r="G69" i="16" s="1"/>
  <c r="K49" i="16"/>
  <c r="K53" i="16"/>
  <c r="K57" i="16"/>
  <c r="K61" i="16"/>
  <c r="K65" i="16"/>
  <c r="O56" i="15"/>
  <c r="K67" i="15"/>
  <c r="O55" i="15"/>
  <c r="I68" i="15"/>
  <c r="I69" i="15" s="1"/>
  <c r="O48" i="15"/>
  <c r="P59" i="15"/>
  <c r="J68" i="15"/>
  <c r="J69" i="15" s="1"/>
  <c r="P49" i="15"/>
  <c r="O51" i="15"/>
  <c r="K52" i="15"/>
  <c r="P55" i="15"/>
  <c r="M56" i="15"/>
  <c r="O60" i="15"/>
  <c r="P60" i="15"/>
  <c r="K63" i="15"/>
  <c r="P65" i="15"/>
  <c r="O67" i="15"/>
  <c r="P64" i="15"/>
  <c r="F68" i="15"/>
  <c r="K48" i="15"/>
  <c r="P51" i="15"/>
  <c r="M53" i="15"/>
  <c r="P56" i="15"/>
  <c r="K59" i="15"/>
  <c r="P61" i="15"/>
  <c r="O63" i="15"/>
  <c r="K64" i="15"/>
  <c r="P67" i="15"/>
  <c r="P48" i="15"/>
  <c r="H68" i="15"/>
  <c r="H69" i="15" s="1"/>
  <c r="M48" i="15"/>
  <c r="M49" i="15"/>
  <c r="O52" i="15"/>
  <c r="P52" i="15"/>
  <c r="K55" i="15"/>
  <c r="P57" i="15"/>
  <c r="O59" i="15"/>
  <c r="K60" i="15"/>
  <c r="P63" i="15"/>
  <c r="M64" i="15"/>
  <c r="M65" i="15"/>
  <c r="N54" i="15"/>
  <c r="N58" i="15"/>
  <c r="N62" i="15"/>
  <c r="N66" i="15"/>
  <c r="G68" i="15"/>
  <c r="G69" i="15" s="1"/>
  <c r="O50" i="15"/>
  <c r="N53" i="15"/>
  <c r="O54" i="15"/>
  <c r="N57" i="15"/>
  <c r="O58" i="15"/>
  <c r="N61" i="15"/>
  <c r="O62" i="15"/>
  <c r="N65" i="15"/>
  <c r="O66" i="15"/>
  <c r="N50" i="15"/>
  <c r="N48" i="15"/>
  <c r="O49" i="15"/>
  <c r="K50" i="15"/>
  <c r="P50" i="15"/>
  <c r="M51" i="15"/>
  <c r="N52" i="15"/>
  <c r="O53" i="15"/>
  <c r="K54" i="15"/>
  <c r="P54" i="15"/>
  <c r="M55" i="15"/>
  <c r="N56" i="15"/>
  <c r="O57" i="15"/>
  <c r="K58" i="15"/>
  <c r="P58" i="15"/>
  <c r="M59" i="15"/>
  <c r="N60" i="15"/>
  <c r="O61" i="15"/>
  <c r="K62" i="15"/>
  <c r="P62" i="15"/>
  <c r="M63" i="15"/>
  <c r="N64" i="15"/>
  <c r="O65" i="15"/>
  <c r="K66" i="15"/>
  <c r="P66" i="15"/>
  <c r="M67" i="15"/>
  <c r="E68" i="15"/>
  <c r="F69" i="15"/>
  <c r="N49" i="15"/>
  <c r="K49" i="15"/>
  <c r="K53" i="15"/>
  <c r="K57" i="15"/>
  <c r="K61" i="15"/>
  <c r="K65" i="15"/>
  <c r="O48" i="14"/>
  <c r="K48" i="14"/>
  <c r="N54" i="14"/>
  <c r="N53" i="14"/>
  <c r="N61" i="14"/>
  <c r="O66" i="14"/>
  <c r="H68" i="14"/>
  <c r="H69" i="14" s="1"/>
  <c r="I69" i="14"/>
  <c r="N66" i="14"/>
  <c r="G68" i="14"/>
  <c r="G69" i="14" s="1"/>
  <c r="O50" i="14"/>
  <c r="O54" i="14"/>
  <c r="O58" i="14"/>
  <c r="N48" i="14"/>
  <c r="O49" i="14"/>
  <c r="K50" i="14"/>
  <c r="P50" i="14"/>
  <c r="N52" i="14"/>
  <c r="O53" i="14"/>
  <c r="K54" i="14"/>
  <c r="P54" i="14"/>
  <c r="N56" i="14"/>
  <c r="O57" i="14"/>
  <c r="K58" i="14"/>
  <c r="P58" i="14"/>
  <c r="N60" i="14"/>
  <c r="O61" i="14"/>
  <c r="K62" i="14"/>
  <c r="P62" i="14"/>
  <c r="M63" i="14"/>
  <c r="N64" i="14"/>
  <c r="O65" i="14"/>
  <c r="K66" i="14"/>
  <c r="P66" i="14"/>
  <c r="M67" i="14"/>
  <c r="E68" i="14"/>
  <c r="F69" i="14"/>
  <c r="J69" i="14"/>
  <c r="N50" i="14"/>
  <c r="N58" i="14"/>
  <c r="N62" i="14"/>
  <c r="N49" i="14"/>
  <c r="N57" i="14"/>
  <c r="O62" i="14"/>
  <c r="N65" i="14"/>
  <c r="K49" i="14"/>
  <c r="K53" i="14"/>
  <c r="K57" i="14"/>
  <c r="K61" i="14"/>
  <c r="K65" i="14"/>
  <c r="O48" i="13"/>
  <c r="P48" i="13"/>
  <c r="K48" i="13"/>
  <c r="M48" i="13"/>
  <c r="O68" i="13"/>
  <c r="N68" i="13"/>
  <c r="M68" i="13"/>
  <c r="P68" i="13"/>
  <c r="K68" i="13"/>
  <c r="N58" i="13"/>
  <c r="N62" i="13"/>
  <c r="N66" i="13"/>
  <c r="G68" i="13"/>
  <c r="G69" i="13" s="1"/>
  <c r="H69" i="13"/>
  <c r="N54" i="13"/>
  <c r="N49" i="13"/>
  <c r="O50" i="13"/>
  <c r="N53" i="13"/>
  <c r="O54" i="13"/>
  <c r="N57" i="13"/>
  <c r="O58" i="13"/>
  <c r="N61" i="13"/>
  <c r="O62" i="13"/>
  <c r="N65" i="13"/>
  <c r="O66" i="13"/>
  <c r="E69" i="13"/>
  <c r="I69" i="13"/>
  <c r="K51" i="13"/>
  <c r="P51" i="13"/>
  <c r="N48" i="13"/>
  <c r="K50" i="13"/>
  <c r="P50" i="13"/>
  <c r="M51" i="13"/>
  <c r="O53" i="13"/>
  <c r="K54" i="13"/>
  <c r="P54" i="13"/>
  <c r="M55" i="13"/>
  <c r="O57" i="13"/>
  <c r="K58" i="13"/>
  <c r="P58" i="13"/>
  <c r="M59" i="13"/>
  <c r="O61" i="13"/>
  <c r="K62" i="13"/>
  <c r="P62" i="13"/>
  <c r="M63" i="13"/>
  <c r="O65" i="13"/>
  <c r="K66" i="13"/>
  <c r="P66" i="13"/>
  <c r="M67" i="13"/>
  <c r="F69" i="13"/>
  <c r="J69" i="13"/>
  <c r="N50" i="13"/>
  <c r="K53" i="13"/>
  <c r="K69" i="13" s="1"/>
  <c r="K57" i="13"/>
  <c r="K61" i="13"/>
  <c r="K65" i="13"/>
  <c r="O64" i="12"/>
  <c r="P53" i="12"/>
  <c r="K65" i="12"/>
  <c r="P49" i="12"/>
  <c r="O59" i="12"/>
  <c r="P60" i="12"/>
  <c r="K64" i="12"/>
  <c r="O48" i="12"/>
  <c r="K48" i="12"/>
  <c r="M49" i="12"/>
  <c r="O49" i="12"/>
  <c r="M51" i="12"/>
  <c r="K52" i="12"/>
  <c r="M53" i="12"/>
  <c r="O51" i="12"/>
  <c r="P52" i="12"/>
  <c r="O53" i="12"/>
  <c r="O60" i="12"/>
  <c r="O61" i="12"/>
  <c r="O63" i="12"/>
  <c r="P64" i="12"/>
  <c r="P65" i="12"/>
  <c r="M65" i="12"/>
  <c r="H68" i="12"/>
  <c r="H69" i="12" s="1"/>
  <c r="M55" i="12"/>
  <c r="K56" i="12"/>
  <c r="K57" i="12"/>
  <c r="O67" i="12"/>
  <c r="I68" i="12"/>
  <c r="I69" i="12" s="1"/>
  <c r="F68" i="12"/>
  <c r="J68" i="12"/>
  <c r="O55" i="12"/>
  <c r="P56" i="12"/>
  <c r="P57" i="12"/>
  <c r="M57" i="12"/>
  <c r="K60" i="12"/>
  <c r="K61" i="12"/>
  <c r="N54" i="12"/>
  <c r="G68" i="12"/>
  <c r="G69" i="12" s="1"/>
  <c r="M48" i="12"/>
  <c r="N49" i="12"/>
  <c r="O50" i="12"/>
  <c r="K51" i="12"/>
  <c r="P51" i="12"/>
  <c r="M52" i="12"/>
  <c r="N53" i="12"/>
  <c r="O54" i="12"/>
  <c r="K55" i="12"/>
  <c r="P55" i="12"/>
  <c r="M56" i="12"/>
  <c r="O58" i="12"/>
  <c r="K59" i="12"/>
  <c r="P59" i="12"/>
  <c r="M60" i="12"/>
  <c r="N61" i="12"/>
  <c r="O62" i="12"/>
  <c r="K63" i="12"/>
  <c r="P63" i="12"/>
  <c r="M64" i="12"/>
  <c r="N65" i="12"/>
  <c r="O66" i="12"/>
  <c r="K67" i="12"/>
  <c r="P67" i="12"/>
  <c r="N58" i="12"/>
  <c r="N48" i="12"/>
  <c r="K50" i="12"/>
  <c r="P50" i="12"/>
  <c r="N52" i="12"/>
  <c r="K54" i="12"/>
  <c r="P54" i="12"/>
  <c r="N56" i="12"/>
  <c r="O57" i="12"/>
  <c r="K58" i="12"/>
  <c r="P58" i="12"/>
  <c r="M59" i="12"/>
  <c r="N60" i="12"/>
  <c r="K62" i="12"/>
  <c r="P62" i="12"/>
  <c r="M63" i="12"/>
  <c r="N64" i="12"/>
  <c r="K66" i="12"/>
  <c r="P66" i="12"/>
  <c r="M67" i="12"/>
  <c r="E68" i="12"/>
  <c r="F69" i="12"/>
  <c r="J69" i="12"/>
  <c r="N50" i="12"/>
  <c r="N62" i="12"/>
  <c r="N66" i="12"/>
  <c r="K49" i="12"/>
  <c r="K53" i="12"/>
  <c r="P64" i="2"/>
  <c r="P60" i="2"/>
  <c r="P56" i="2"/>
  <c r="O48" i="2"/>
  <c r="O51" i="2"/>
  <c r="O64" i="2"/>
  <c r="O62" i="2"/>
  <c r="O60" i="2"/>
  <c r="O58" i="2"/>
  <c r="O56" i="2"/>
  <c r="P52" i="2"/>
  <c r="O54" i="2"/>
  <c r="O50" i="2"/>
  <c r="O66" i="2"/>
  <c r="P48" i="2"/>
  <c r="O67" i="2"/>
  <c r="P65" i="2"/>
  <c r="O63" i="2"/>
  <c r="P61" i="2"/>
  <c r="O59" i="2"/>
  <c r="P57" i="2"/>
  <c r="O55" i="2"/>
  <c r="O53" i="2"/>
  <c r="O49" i="2"/>
  <c r="P67" i="2"/>
  <c r="P63" i="2"/>
  <c r="P59" i="2"/>
  <c r="P55" i="2"/>
  <c r="O65" i="2"/>
  <c r="P66" i="2"/>
  <c r="P62" i="2"/>
  <c r="P58" i="2"/>
  <c r="J68" i="2"/>
  <c r="H68" i="2"/>
  <c r="G28" i="1"/>
  <c r="D28" i="1"/>
  <c r="F28" i="1"/>
  <c r="E28" i="1"/>
  <c r="P69" i="21" l="1"/>
  <c r="O69" i="21"/>
  <c r="N69" i="21"/>
  <c r="M69" i="21"/>
  <c r="O69" i="20"/>
  <c r="N69" i="20"/>
  <c r="M69" i="20"/>
  <c r="P69" i="20"/>
  <c r="K69" i="20"/>
  <c r="O68" i="19"/>
  <c r="N68" i="19"/>
  <c r="M68" i="19"/>
  <c r="P68" i="19"/>
  <c r="K68" i="19"/>
  <c r="K69" i="19" s="1"/>
  <c r="E69" i="19"/>
  <c r="H69" i="18"/>
  <c r="P69" i="18" s="1"/>
  <c r="K69" i="18"/>
  <c r="P68" i="18"/>
  <c r="O69" i="18"/>
  <c r="N69" i="18"/>
  <c r="M69" i="18"/>
  <c r="O68" i="17"/>
  <c r="N68" i="17"/>
  <c r="M68" i="17"/>
  <c r="P68" i="17"/>
  <c r="K68" i="17"/>
  <c r="K69" i="17" s="1"/>
  <c r="P69" i="17"/>
  <c r="O69" i="17"/>
  <c r="N69" i="17"/>
  <c r="M69" i="17"/>
  <c r="O68" i="16"/>
  <c r="P68" i="16"/>
  <c r="K68" i="16"/>
  <c r="K69" i="16" s="1"/>
  <c r="N68" i="16"/>
  <c r="M68" i="16"/>
  <c r="E69" i="16"/>
  <c r="O68" i="15"/>
  <c r="N68" i="15"/>
  <c r="M68" i="15"/>
  <c r="P68" i="15"/>
  <c r="K68" i="15"/>
  <c r="K69" i="15" s="1"/>
  <c r="E69" i="15"/>
  <c r="O68" i="14"/>
  <c r="N68" i="14"/>
  <c r="P68" i="14"/>
  <c r="K68" i="14"/>
  <c r="K69" i="14" s="1"/>
  <c r="M68" i="14"/>
  <c r="E69" i="14"/>
  <c r="P69" i="13"/>
  <c r="O69" i="13"/>
  <c r="N69" i="13"/>
  <c r="M69" i="13"/>
  <c r="O68" i="12"/>
  <c r="N68" i="12"/>
  <c r="M68" i="12"/>
  <c r="P68" i="12"/>
  <c r="K68" i="12"/>
  <c r="K69" i="12" s="1"/>
  <c r="E69" i="12"/>
  <c r="H28" i="1"/>
  <c r="P69" i="19" l="1"/>
  <c r="O69" i="19"/>
  <c r="N69" i="19"/>
  <c r="M69" i="19"/>
  <c r="P69" i="16"/>
  <c r="M69" i="16"/>
  <c r="O69" i="16"/>
  <c r="N69" i="16"/>
  <c r="P69" i="15"/>
  <c r="O69" i="15"/>
  <c r="N69" i="15"/>
  <c r="M69" i="15"/>
  <c r="P69" i="14"/>
  <c r="O69" i="14"/>
  <c r="M69" i="14"/>
  <c r="N69" i="14"/>
  <c r="P69" i="12"/>
  <c r="O69" i="12"/>
  <c r="N69" i="12"/>
  <c r="M69" i="12"/>
  <c r="J28" i="1"/>
  <c r="I28" i="1"/>
  <c r="M49" i="2" l="1"/>
  <c r="K53" i="2"/>
  <c r="M53" i="2"/>
  <c r="K51" i="2"/>
  <c r="M51" i="2"/>
  <c r="K48" i="2"/>
  <c r="M48" i="2"/>
  <c r="M50" i="2"/>
  <c r="M52" i="2"/>
  <c r="K67" i="2"/>
  <c r="M67" i="2"/>
  <c r="K65" i="2"/>
  <c r="M65" i="2"/>
  <c r="K63" i="2"/>
  <c r="M63" i="2"/>
  <c r="K61" i="2"/>
  <c r="M61" i="2"/>
  <c r="K59" i="2"/>
  <c r="M59" i="2"/>
  <c r="K57" i="2"/>
  <c r="M57" i="2"/>
  <c r="K55" i="2"/>
  <c r="M55" i="2"/>
  <c r="K66" i="2"/>
  <c r="M66" i="2"/>
  <c r="K64" i="2"/>
  <c r="M64" i="2"/>
  <c r="K62" i="2"/>
  <c r="M62" i="2"/>
  <c r="K60" i="2"/>
  <c r="M60" i="2"/>
  <c r="K58" i="2"/>
  <c r="M58" i="2"/>
  <c r="K56" i="2"/>
  <c r="M56" i="2"/>
  <c r="M54" i="2"/>
  <c r="K54" i="2"/>
  <c r="F68" i="2"/>
  <c r="I68" i="2"/>
  <c r="G68" i="2"/>
  <c r="K52" i="2"/>
  <c r="E68" i="2"/>
  <c r="K50" i="2"/>
  <c r="K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O68" i="2" l="1"/>
  <c r="P68" i="2"/>
  <c r="J69" i="2"/>
  <c r="G69" i="2"/>
  <c r="I69" i="2"/>
  <c r="G37" i="1" s="1"/>
  <c r="H69" i="2"/>
  <c r="F37" i="1" s="1"/>
  <c r="N49" i="2"/>
  <c r="N48" i="2"/>
  <c r="M68" i="2" l="1"/>
  <c r="K68" i="2"/>
  <c r="K69" i="2" s="1"/>
  <c r="F69" i="2"/>
  <c r="E69" i="2"/>
  <c r="N68" i="2"/>
  <c r="P69" i="2" l="1"/>
  <c r="O69" i="2"/>
  <c r="N69" i="2"/>
  <c r="M69" i="2"/>
  <c r="W50" i="1"/>
  <c r="M50" i="1"/>
  <c r="AF1" i="1"/>
  <c r="W1" i="1"/>
  <c r="D37" i="1" l="1"/>
  <c r="A3" i="2"/>
  <c r="A2" i="2"/>
  <c r="T1" i="1"/>
  <c r="M1" i="1"/>
  <c r="H37" i="1" l="1"/>
  <c r="E37" i="1"/>
</calcChain>
</file>

<file path=xl/sharedStrings.xml><?xml version="1.0" encoding="utf-8"?>
<sst xmlns="http://schemas.openxmlformats.org/spreadsheetml/2006/main" count="31078" uniqueCount="226">
  <si>
    <t>iMAGOTAG GmbH
St. Peter Gürtel 10b
A-8042 Graz
office@imagotag.at</t>
  </si>
  <si>
    <t>This document is for internal use only.</t>
  </si>
  <si>
    <t>Document information</t>
  </si>
  <si>
    <t>Overview</t>
  </si>
  <si>
    <t>Section</t>
  </si>
  <si>
    <t># OK</t>
  </si>
  <si>
    <t>Progress</t>
  </si>
  <si>
    <t>Status</t>
  </si>
  <si>
    <t>Overall</t>
  </si>
  <si>
    <t>Status:</t>
  </si>
  <si>
    <t>Testing Overview</t>
  </si>
  <si>
    <t>Author:</t>
  </si>
  <si>
    <t>Date of creation:</t>
  </si>
  <si>
    <t>Electrical</t>
  </si>
  <si>
    <t>Electrical Functional</t>
  </si>
  <si>
    <t>Functional</t>
  </si>
  <si>
    <t>Lifetime Estimation</t>
  </si>
  <si>
    <t>Environmental</t>
  </si>
  <si>
    <t>Quality Assurance</t>
  </si>
  <si>
    <t># NOK</t>
  </si>
  <si>
    <t>Overview:</t>
  </si>
  <si>
    <t>Tests:</t>
  </si>
  <si>
    <t>TP</t>
  </si>
  <si>
    <t>Responsible:</t>
  </si>
  <si>
    <t>Designer</t>
  </si>
  <si>
    <t>Product Testing Overview</t>
  </si>
  <si>
    <t>Product Revision</t>
  </si>
  <si>
    <t>BOM Version</t>
  </si>
  <si>
    <t># Items</t>
  </si>
  <si>
    <t>Test Procedure</t>
  </si>
  <si>
    <t>Name</t>
  </si>
  <si>
    <t>Test Progress</t>
  </si>
  <si>
    <t>Completed</t>
  </si>
  <si>
    <t>Tester</t>
  </si>
  <si>
    <t>Date</t>
  </si>
  <si>
    <t>Remarks (Tester)</t>
  </si>
  <si>
    <t>Test Protocol</t>
  </si>
  <si>
    <t>Test Review</t>
  </si>
  <si>
    <t>Reviewed</t>
  </si>
  <si>
    <t>Reviewer</t>
  </si>
  <si>
    <t>Remarks (Reviewer)</t>
  </si>
  <si>
    <t>Run-up Tests</t>
  </si>
  <si>
    <t>Test Category</t>
  </si>
  <si>
    <t>Configuration</t>
  </si>
  <si>
    <t>Available Revisions, BOM Versions, Testers and Reviewers:</t>
  </si>
  <si>
    <t>Revisions</t>
  </si>
  <si>
    <t>BOM Versions</t>
  </si>
  <si>
    <t>00A</t>
  </si>
  <si>
    <t>Remarks:</t>
  </si>
  <si>
    <t>Testers</t>
  </si>
  <si>
    <t>Reviewers</t>
  </si>
  <si>
    <t>Approval</t>
  </si>
  <si>
    <t>Approval for Production:</t>
  </si>
  <si>
    <t>Date:</t>
  </si>
  <si>
    <t>Short Sign, Signature</t>
  </si>
  <si>
    <t>Conditions:</t>
  </si>
  <si>
    <t>Production</t>
  </si>
  <si>
    <t>approved</t>
  </si>
  <si>
    <t>not approved</t>
  </si>
  <si>
    <t>approved under conditions</t>
  </si>
  <si>
    <t># To Review</t>
  </si>
  <si>
    <t>Browse</t>
  </si>
  <si>
    <t># Test Failed</t>
  </si>
  <si>
    <t># To Test</t>
  </si>
  <si>
    <t># Reviewed OK</t>
  </si>
  <si>
    <t># Reviewed NOK</t>
  </si>
  <si>
    <t>00B</t>
  </si>
  <si>
    <t>Test ID</t>
  </si>
  <si>
    <t>Status Testing</t>
  </si>
  <si>
    <t>Status Review</t>
  </si>
  <si>
    <t>Summary</t>
  </si>
  <si>
    <t>[Other]</t>
  </si>
  <si>
    <t>File</t>
  </si>
  <si>
    <t>Location in File</t>
  </si>
  <si>
    <t>Choose</t>
  </si>
  <si>
    <t>General Tests</t>
  </si>
  <si>
    <t>HF Interface</t>
  </si>
  <si>
    <t>Battery Tests</t>
  </si>
  <si>
    <t>NOS</t>
  </si>
  <si>
    <t>00C</t>
  </si>
  <si>
    <t>KIM</t>
  </si>
  <si>
    <t>STR</t>
  </si>
  <si>
    <t>HEM</t>
  </si>
  <si>
    <t>GRM</t>
  </si>
  <si>
    <t>CZC</t>
  </si>
  <si>
    <t>General Remarks</t>
  </si>
  <si>
    <t>Test Concept #1:</t>
  </si>
  <si>
    <t>applies to IDs:</t>
  </si>
  <si>
    <t>Test Concept #2:</t>
  </si>
  <si>
    <t>Test Concept #3:</t>
  </si>
  <si>
    <t>Test Concept #4:</t>
  </si>
  <si>
    <t>Test Concept #5:</t>
  </si>
  <si>
    <t>Test Concept #6:</t>
  </si>
  <si>
    <t>Test Concept #7:</t>
  </si>
  <si>
    <t>Destructive Tests</t>
  </si>
  <si>
    <t>Replaced Procedures</t>
  </si>
  <si>
    <t>Climate Tests</t>
  </si>
  <si>
    <t/>
  </si>
  <si>
    <t>Ref. ID</t>
  </si>
  <si>
    <t>Operation</t>
  </si>
  <si>
    <t>Storage</t>
  </si>
  <si>
    <t>Mechanical</t>
  </si>
  <si>
    <t>CE General</t>
  </si>
  <si>
    <t>external</t>
  </si>
  <si>
    <t>Risk Analysis</t>
  </si>
  <si>
    <t>EMC</t>
  </si>
  <si>
    <t>UL</t>
  </si>
  <si>
    <t>Certification</t>
  </si>
  <si>
    <t>Sheet finished/closed</t>
  </si>
  <si>
    <t>By Reviewer:</t>
  </si>
  <si>
    <t>On Date:</t>
  </si>
  <si>
    <t>Reason:</t>
  </si>
  <si>
    <t>NO</t>
  </si>
  <si>
    <t>R&amp;TTE</t>
  </si>
  <si>
    <t>FCC</t>
  </si>
  <si>
    <t>to Path:</t>
  </si>
  <si>
    <t>to ZIP file:</t>
  </si>
  <si>
    <t>Copy &amp; ZIP Test Protocol Files/Folders</t>
  </si>
  <si>
    <t>./99_Testing_Data/01_Electrical/</t>
  </si>
  <si>
    <t>./99_Testing_ZIP/01_Electrical.zip</t>
  </si>
  <si>
    <t>./99_Testing_Data/02_Electrical_Functional/</t>
  </si>
  <si>
    <t>./99_Testing_ZIP/02_Electrical_Functional.zip</t>
  </si>
  <si>
    <t>./99_Testing_Data/03_Functional/</t>
  </si>
  <si>
    <t>./99_Testing_ZIP/03_Functional.zip</t>
  </si>
  <si>
    <t>./99_Testing_Data/04_Lifetime_Estimation/</t>
  </si>
  <si>
    <t>./99_Testing_ZIP/04_Lifetime_Estimation.zip</t>
  </si>
  <si>
    <t>./99_Testing_Data/05_Environmental/</t>
  </si>
  <si>
    <t>./99_Testing_Data/06_EMC/</t>
  </si>
  <si>
    <t>./99_Testing_ZIP/06_EMC.zip</t>
  </si>
  <si>
    <t>TÜV</t>
  </si>
  <si>
    <t>&lt;INSERT PRODUCT NAME HERE&gt;</t>
  </si>
  <si>
    <t>Priority</t>
  </si>
  <si>
    <t>Additional Remarks</t>
  </si>
  <si>
    <t>Path to File / Directory</t>
  </si>
  <si>
    <t>Directory</t>
  </si>
  <si>
    <t>Test Done</t>
  </si>
  <si>
    <t>Product Specification</t>
  </si>
  <si>
    <t>Operating Conditions:</t>
  </si>
  <si>
    <t>Storage Conditions:</t>
  </si>
  <si>
    <t>Electrical Characteristics:</t>
  </si>
  <si>
    <t>Maximum Input Current:</t>
  </si>
  <si>
    <t>Expected Life Time:</t>
  </si>
  <si>
    <t>Active Operation Parameters:</t>
  </si>
  <si>
    <t>Given Life Time in years:</t>
  </si>
  <si>
    <t>RF Characteristics:</t>
  </si>
  <si>
    <t>Maximum Transmit Power:</t>
  </si>
  <si>
    <t>./99_Testing_ZIP/04_Environmental.zip</t>
  </si>
  <si>
    <t>./99_Testing_Data/07_Risk_Analysis/</t>
  </si>
  <si>
    <t>./99_Testing_ZIP/07_Risk_Analysis.zip</t>
  </si>
  <si>
    <t>./99_Testing_Data/08_Certification/</t>
  </si>
  <si>
    <t>./99_Testing_ZIP/08_Certification.zip</t>
  </si>
  <si>
    <t>Aging</t>
  </si>
  <si>
    <t>./99_Testing_Data/09_Aging/</t>
  </si>
  <si>
    <t>./99_Testing_ZIP/09_Aging.zip</t>
  </si>
  <si>
    <t>./99_Testing_Data/10_Mechanical/</t>
  </si>
  <si>
    <t>./99_Testing_ZIP/10_Mechanical.zip</t>
  </si>
  <si>
    <t>./99_Testing_Data/11_Quality_Assurance/</t>
  </si>
  <si>
    <t>./99_Testing_ZIP/11_Quality_Assurance.zip</t>
  </si>
  <si>
    <t>EN 61000-4-2</t>
  </si>
  <si>
    <t>EN 61000-4-3</t>
  </si>
  <si>
    <t>EN 61000-4-4</t>
  </si>
  <si>
    <t>EN 61000-4-5</t>
  </si>
  <si>
    <t>EN 61000-4-6</t>
  </si>
  <si>
    <t>EN 61000-4-11</t>
  </si>
  <si>
    <t>EN 61000-3-2</t>
  </si>
  <si>
    <t>EN 61000-3-3</t>
  </si>
  <si>
    <t>EN 55022</t>
  </si>
  <si>
    <t>Maximum Power Consumption:</t>
  </si>
  <si>
    <t>Operating Temperature Range:</t>
  </si>
  <si>
    <t>Operating Humidity Range:</t>
  </si>
  <si>
    <t>Storage Temperature Range:</t>
  </si>
  <si>
    <t>Storage Humidity Range:</t>
  </si>
  <si>
    <t>Input (Battery) Voltage Range:</t>
  </si>
  <si>
    <t>Design Documentation</t>
  </si>
  <si>
    <t>Design Remarks:</t>
  </si>
  <si>
    <t>Path:</t>
  </si>
  <si>
    <t>Misc</t>
  </si>
  <si>
    <t>./99_Testing_Data/12_Misc/</t>
  </si>
  <si>
    <t>./99_Testing_ZIP/12_Misc.zip</t>
  </si>
  <si>
    <t>Design Documentation File:</t>
  </si>
  <si>
    <t>Design Files:</t>
  </si>
  <si>
    <t>Requirements Document:</t>
  </si>
  <si>
    <t>Revision</t>
  </si>
  <si>
    <t>BOM</t>
  </si>
  <si>
    <t>Schematics</t>
  </si>
  <si>
    <t>EPF</t>
  </si>
  <si>
    <t>Layout</t>
  </si>
  <si>
    <t>Gerber Data</t>
  </si>
  <si>
    <t>Optional</t>
  </si>
  <si>
    <t>More Specifications:</t>
  </si>
  <si>
    <t>Design Files for each iteration:</t>
  </si>
  <si>
    <t>ESD</t>
  </si>
  <si>
    <t>Electrostatic Discharge (ESD)</t>
  </si>
  <si>
    <t>Susceptibility to radiated RF fields</t>
  </si>
  <si>
    <t>Fast Electrical Transient (Burst)</t>
  </si>
  <si>
    <t>Surge Immunity Test</t>
  </si>
  <si>
    <t>Conducted Disturbances, induced by RF fields</t>
  </si>
  <si>
    <t>Voltage Dips and Voltage Interruptions</t>
  </si>
  <si>
    <t>Harmonic Current Emission (AC mains input port)</t>
  </si>
  <si>
    <t>Voltage Fluctuations and Flicker (AC mains input port)</t>
  </si>
  <si>
    <t>Radiated Emission</t>
  </si>
  <si>
    <t>EN 300220-1/8.1</t>
  </si>
  <si>
    <t>EN 300220-1/8.2</t>
  </si>
  <si>
    <t>EN 300220-1/8.3</t>
  </si>
  <si>
    <t>EN 300220-1/8.5</t>
  </si>
  <si>
    <t>EN 300220-1/8.7</t>
  </si>
  <si>
    <t>EN 300220-1/8.8</t>
  </si>
  <si>
    <t>EN 300220-1/8.9</t>
  </si>
  <si>
    <t>EN 300220-1/9.1</t>
  </si>
  <si>
    <t>EN 300220-1/9.2</t>
  </si>
  <si>
    <t>EN 300220-1/9.3</t>
  </si>
  <si>
    <t>EN 300220-1/9.4</t>
  </si>
  <si>
    <t>Frequency Error</t>
  </si>
  <si>
    <t>Carrier Power, Conducted</t>
  </si>
  <si>
    <t>Effective Radiated Power</t>
  </si>
  <si>
    <t>Adjacent Channel Power</t>
  </si>
  <si>
    <t>Spurious Emission</t>
  </si>
  <si>
    <t>Frequency Stability under Low Voltage Conditions</t>
  </si>
  <si>
    <t>Duty Cycle</t>
  </si>
  <si>
    <t>Adjacent Channel Selectivity - in Band</t>
  </si>
  <si>
    <t>Adjacent Band Selectivity</t>
  </si>
  <si>
    <t>Blocking or Desensitization</t>
  </si>
  <si>
    <t>Spurious Radiation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</si>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</sst>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70717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707173"/>
      <name val="Calibri"/>
      <family val="2"/>
      <scheme val="minor"/>
    </font>
    <font>
      <b/>
      <sz val="11"/>
      <color rgb="FF70717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onsolas"/>
      <family val="3"/>
    </font>
    <font>
      <sz val="11"/>
      <color theme="1"/>
      <name val="Consolas"/>
      <family val="3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717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lightUp">
        <bgColor theme="0" tint="-0.14996795556505021"/>
      </patternFill>
    </fill>
  </fills>
  <borders count="71">
    <border>
      <left/>
      <right/>
      <top/>
      <bottom/>
      <diagonal/>
    </border>
    <border>
      <left/>
      <right/>
      <top/>
      <bottom style="thin">
        <color rgb="FF70717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55">
    <xf numFmtId="0" fontId="0" fillId="0" borderId="0" xfId="0"/>
    <xf numFmtId="0" fontId="0" fillId="0" borderId="0" xfId="0"/>
    <xf numFmtId="0" fontId="0" fillId="2" borderId="1" xfId="0" applyFill="1" applyBorder="1"/>
    <xf numFmtId="0" fontId="0" fillId="2" borderId="0" xfId="0" applyFill="1"/>
    <xf numFmtId="0" fontId="6" fillId="2" borderId="0" xfId="0" applyFont="1" applyFill="1" applyAlignment="1">
      <alignment horizontal="center"/>
    </xf>
    <xf numFmtId="0" fontId="5" fillId="2" borderId="0" xfId="0" applyFont="1" applyFill="1"/>
    <xf numFmtId="0" fontId="0" fillId="2" borderId="0" xfId="0" applyFont="1" applyFill="1"/>
    <xf numFmtId="0" fontId="0" fillId="2" borderId="0" xfId="0" applyFill="1" applyAlignment="1"/>
    <xf numFmtId="0" fontId="9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2" fillId="2" borderId="0" xfId="0" applyFont="1" applyFill="1"/>
    <xf numFmtId="0" fontId="0" fillId="2" borderId="0" xfId="0" applyFill="1" applyBorder="1"/>
    <xf numFmtId="0" fontId="1" fillId="4" borderId="0" xfId="0" applyFont="1" applyFill="1"/>
    <xf numFmtId="0" fontId="10" fillId="4" borderId="0" xfId="0" applyFont="1" applyFill="1"/>
    <xf numFmtId="0" fontId="11" fillId="4" borderId="0" xfId="0" applyFont="1" applyFill="1"/>
    <xf numFmtId="0" fontId="12" fillId="4" borderId="0" xfId="0" applyFont="1" applyFill="1"/>
    <xf numFmtId="0" fontId="5" fillId="0" borderId="0" xfId="0" applyFont="1"/>
    <xf numFmtId="0" fontId="0" fillId="2" borderId="22" xfId="0" applyFill="1" applyBorder="1" applyProtection="1">
      <protection locked="0"/>
    </xf>
    <xf numFmtId="0" fontId="0" fillId="2" borderId="21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26" xfId="0" applyFill="1" applyBorder="1" applyProtection="1">
      <protection locked="0"/>
    </xf>
    <xf numFmtId="0" fontId="0" fillId="2" borderId="23" xfId="0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2" borderId="24" xfId="0" applyFill="1" applyBorder="1" applyProtection="1">
      <protection locked="0"/>
    </xf>
    <xf numFmtId="0" fontId="0" fillId="2" borderId="0" xfId="0" applyFill="1" applyAlignment="1">
      <alignment textRotation="90"/>
    </xf>
    <xf numFmtId="0" fontId="0" fillId="0" borderId="0" xfId="0" applyBorder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9" xfId="0" applyBorder="1" applyAlignment="1">
      <alignment horizontal="center"/>
    </xf>
    <xf numFmtId="0" fontId="2" fillId="7" borderId="37" xfId="0" applyFont="1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44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49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49" xfId="0" applyFill="1" applyBorder="1" applyAlignment="1" applyProtection="1">
      <alignment horizontal="center"/>
      <protection locked="0"/>
    </xf>
    <xf numFmtId="0" fontId="2" fillId="7" borderId="6" xfId="0" applyFont="1" applyFill="1" applyBorder="1" applyAlignment="1">
      <alignment horizontal="center"/>
    </xf>
    <xf numFmtId="0" fontId="2" fillId="7" borderId="36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9" fontId="0" fillId="2" borderId="31" xfId="0" applyNumberFormat="1" applyFill="1" applyBorder="1" applyAlignment="1">
      <alignment horizontal="center"/>
    </xf>
    <xf numFmtId="9" fontId="2" fillId="7" borderId="36" xfId="0" applyNumberFormat="1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3" xfId="0" applyFill="1" applyBorder="1" applyProtection="1">
      <protection locked="0"/>
    </xf>
    <xf numFmtId="0" fontId="0" fillId="5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46" xfId="0" applyFont="1" applyBorder="1" applyAlignment="1">
      <alignment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58" xfId="0" applyFont="1" applyFill="1" applyBorder="1" applyAlignment="1" applyProtection="1">
      <protection locked="0"/>
    </xf>
    <xf numFmtId="0" fontId="2" fillId="2" borderId="58" xfId="0" applyFont="1" applyFill="1" applyBorder="1" applyAlignment="1"/>
    <xf numFmtId="0" fontId="0" fillId="2" borderId="58" xfId="0" applyFill="1" applyBorder="1" applyAlignment="1" applyProtection="1">
      <protection locked="0"/>
    </xf>
    <xf numFmtId="0" fontId="0" fillId="2" borderId="14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2" fillId="2" borderId="59" xfId="0" applyFont="1" applyFill="1" applyBorder="1" applyAlignment="1" applyProtection="1">
      <protection locked="0"/>
    </xf>
    <xf numFmtId="0" fontId="2" fillId="2" borderId="59" xfId="0" applyFont="1" applyFill="1" applyBorder="1" applyAlignment="1"/>
    <xf numFmtId="0" fontId="0" fillId="2" borderId="59" xfId="0" applyFill="1" applyBorder="1" applyAlignment="1" applyProtection="1">
      <protection locked="0"/>
    </xf>
    <xf numFmtId="0" fontId="0" fillId="2" borderId="17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0" fontId="0" fillId="2" borderId="16" xfId="0" applyFill="1" applyBorder="1" applyAlignment="1" applyProtection="1">
      <alignment horizontal="center"/>
      <protection locked="0"/>
    </xf>
    <xf numFmtId="0" fontId="0" fillId="2" borderId="42" xfId="0" applyFill="1" applyBorder="1" applyAlignment="1" applyProtection="1">
      <alignment horizontal="center"/>
      <protection locked="0"/>
    </xf>
    <xf numFmtId="0" fontId="0" fillId="2" borderId="43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2" fillId="0" borderId="0" xfId="0" applyFont="1" applyBorder="1" applyAlignment="1">
      <alignment vertical="center"/>
    </xf>
    <xf numFmtId="0" fontId="2" fillId="11" borderId="46" xfId="0" applyFont="1" applyFill="1" applyBorder="1" applyAlignment="1">
      <alignment horizontal="center"/>
    </xf>
    <xf numFmtId="0" fontId="14" fillId="9" borderId="37" xfId="0" applyFont="1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7" borderId="38" xfId="0" applyFont="1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49" fontId="0" fillId="0" borderId="47" xfId="0" applyNumberFormat="1" applyBorder="1" applyAlignment="1" applyProtection="1">
      <alignment horizontal="center"/>
      <protection locked="0"/>
    </xf>
    <xf numFmtId="49" fontId="0" fillId="0" borderId="39" xfId="0" applyNumberFormat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center"/>
    </xf>
    <xf numFmtId="49" fontId="0" fillId="0" borderId="48" xfId="0" applyNumberFormat="1" applyBorder="1" applyAlignment="1">
      <alignment horizontal="center"/>
    </xf>
    <xf numFmtId="49" fontId="0" fillId="7" borderId="48" xfId="0" applyNumberFormat="1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0" borderId="0" xfId="0" applyBorder="1" applyAlignment="1"/>
    <xf numFmtId="0" fontId="2" fillId="0" borderId="0" xfId="0" applyFont="1" applyFill="1" applyBorder="1" applyAlignment="1">
      <alignment horizontal="center"/>
    </xf>
    <xf numFmtId="9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9" fontId="2" fillId="7" borderId="6" xfId="0" applyNumberFormat="1" applyFont="1" applyFill="1" applyBorder="1" applyAlignment="1">
      <alignment horizontal="center"/>
    </xf>
    <xf numFmtId="49" fontId="0" fillId="0" borderId="12" xfId="0" applyNumberFormat="1" applyBorder="1" applyAlignment="1" applyProtection="1">
      <alignment horizontal="center" vertical="center"/>
      <protection locked="0"/>
    </xf>
    <xf numFmtId="49" fontId="2" fillId="0" borderId="29" xfId="0" applyNumberFormat="1" applyFont="1" applyBorder="1" applyAlignment="1" applyProtection="1">
      <alignment horizontal="center" vertical="center"/>
      <protection locked="0"/>
    </xf>
    <xf numFmtId="49" fontId="0" fillId="0" borderId="30" xfId="0" applyNumberFormat="1" applyBorder="1" applyAlignment="1" applyProtection="1">
      <alignment horizontal="center"/>
      <protection locked="0"/>
    </xf>
    <xf numFmtId="49" fontId="0" fillId="0" borderId="14" xfId="0" applyNumberFormat="1" applyBorder="1" applyAlignment="1" applyProtection="1">
      <alignment horizontal="center" vertical="center"/>
      <protection locked="0"/>
    </xf>
    <xf numFmtId="49" fontId="2" fillId="0" borderId="31" xfId="0" applyNumberFormat="1" applyFont="1" applyBorder="1" applyAlignment="1" applyProtection="1">
      <alignment horizontal="center" vertic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14" xfId="0" applyNumberFormat="1" applyBorder="1" applyAlignment="1">
      <alignment horizontal="center"/>
    </xf>
    <xf numFmtId="49" fontId="2" fillId="0" borderId="31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0" borderId="49" xfId="0" applyNumberFormat="1" applyBorder="1" applyAlignment="1">
      <alignment horizontal="center"/>
    </xf>
    <xf numFmtId="49" fontId="2" fillId="0" borderId="33" xfId="0" applyNumberFormat="1" applyFont="1" applyBorder="1" applyAlignment="1">
      <alignment horizontal="center" vertical="center"/>
    </xf>
    <xf numFmtId="49" fontId="0" fillId="0" borderId="34" xfId="0" applyNumberFormat="1" applyBorder="1" applyAlignment="1">
      <alignment horizontal="center"/>
    </xf>
    <xf numFmtId="49" fontId="2" fillId="8" borderId="37" xfId="0" applyNumberFormat="1" applyFont="1" applyFill="1" applyBorder="1" applyAlignment="1">
      <alignment horizontal="center"/>
    </xf>
    <xf numFmtId="49" fontId="2" fillId="11" borderId="37" xfId="0" applyNumberFormat="1" applyFont="1" applyFill="1" applyBorder="1" applyAlignment="1" applyProtection="1">
      <alignment horizontal="center" vertical="center"/>
      <protection locked="0"/>
    </xf>
    <xf numFmtId="49" fontId="2" fillId="0" borderId="56" xfId="0" applyNumberFormat="1" applyFont="1" applyBorder="1" applyAlignment="1" applyProtection="1">
      <alignment horizontal="center" vertical="center"/>
      <protection locked="0"/>
    </xf>
    <xf numFmtId="49" fontId="0" fillId="0" borderId="57" xfId="0" applyNumberFormat="1" applyBorder="1" applyAlignment="1" applyProtection="1">
      <alignment horizontal="center" vertical="center"/>
      <protection locked="0"/>
    </xf>
    <xf numFmtId="49" fontId="0" fillId="0" borderId="2" xfId="0" applyNumberFormat="1" applyBorder="1" applyAlignment="1" applyProtection="1">
      <alignment horizontal="center" vertical="center"/>
      <protection locked="0"/>
    </xf>
    <xf numFmtId="164" fontId="0" fillId="0" borderId="30" xfId="0" applyNumberFormat="1" applyBorder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2" xfId="0" applyNumberFormat="1" applyBorder="1" applyAlignment="1">
      <alignment horizontal="center"/>
    </xf>
    <xf numFmtId="164" fontId="0" fillId="0" borderId="34" xfId="0" applyNumberFormat="1" applyBorder="1" applyAlignment="1">
      <alignment horizontal="center"/>
    </xf>
    <xf numFmtId="49" fontId="0" fillId="0" borderId="45" xfId="0" quotePrefix="1" applyNumberFormat="1" applyBorder="1" applyAlignment="1" applyProtection="1">
      <alignment horizontal="left" vertical="center"/>
      <protection locked="0"/>
    </xf>
    <xf numFmtId="49" fontId="0" fillId="0" borderId="32" xfId="0" applyNumberFormat="1" applyBorder="1" applyAlignment="1" applyProtection="1">
      <alignment horizontal="left" vertic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6" xfId="0" applyNumberFormat="1" applyBorder="1" applyAlignment="1">
      <alignment horizontal="left"/>
    </xf>
    <xf numFmtId="164" fontId="0" fillId="0" borderId="57" xfId="0" applyNumberFormat="1" applyBorder="1" applyAlignment="1" applyProtection="1">
      <alignment horizontal="center"/>
      <protection locked="0"/>
    </xf>
    <xf numFmtId="49" fontId="2" fillId="0" borderId="31" xfId="0" applyNumberFormat="1" applyFont="1" applyBorder="1" applyAlignment="1">
      <alignment horizontal="center"/>
    </xf>
    <xf numFmtId="49" fontId="2" fillId="0" borderId="33" xfId="0" applyNumberFormat="1" applyFont="1" applyBorder="1" applyAlignment="1">
      <alignment horizontal="center"/>
    </xf>
    <xf numFmtId="49" fontId="0" fillId="0" borderId="35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0" borderId="29" xfId="0" applyNumberFormat="1" applyFont="1" applyFill="1" applyBorder="1" applyAlignment="1" applyProtection="1">
      <alignment horizontal="left" vertical="center"/>
      <protection locked="0"/>
    </xf>
    <xf numFmtId="49" fontId="0" fillId="0" borderId="31" xfId="0" applyNumberFormat="1" applyFont="1" applyFill="1" applyBorder="1" applyAlignment="1" applyProtection="1">
      <alignment horizontal="left" vertical="center"/>
      <protection locked="0"/>
    </xf>
    <xf numFmtId="49" fontId="0" fillId="0" borderId="33" xfId="0" applyNumberFormat="1" applyFont="1" applyFill="1" applyBorder="1" applyAlignment="1" applyProtection="1">
      <alignment horizontal="left" vertical="center"/>
      <protection locked="0"/>
    </xf>
    <xf numFmtId="0" fontId="0" fillId="12" borderId="30" xfId="0" applyFill="1" applyBorder="1" applyAlignment="1" applyProtection="1">
      <alignment horizontal="center"/>
      <protection locked="0"/>
    </xf>
    <xf numFmtId="0" fontId="0" fillId="12" borderId="2" xfId="0" applyFill="1" applyBorder="1" applyAlignment="1" applyProtection="1">
      <alignment horizontal="center"/>
      <protection locked="0"/>
    </xf>
    <xf numFmtId="0" fontId="0" fillId="12" borderId="2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0" borderId="14" xfId="0" applyBorder="1" applyAlignment="1" applyProtection="1">
      <protection locked="0"/>
    </xf>
    <xf numFmtId="0" fontId="0" fillId="0" borderId="14" xfId="0" applyBorder="1"/>
    <xf numFmtId="0" fontId="0" fillId="0" borderId="49" xfId="0" applyBorder="1"/>
    <xf numFmtId="0" fontId="0" fillId="0" borderId="44" xfId="0" applyBorder="1" applyAlignment="1" applyProtection="1">
      <protection locked="0"/>
    </xf>
    <xf numFmtId="0" fontId="15" fillId="0" borderId="2" xfId="0" applyFont="1" applyBorder="1" applyAlignment="1"/>
    <xf numFmtId="0" fontId="0" fillId="0" borderId="44" xfId="0" applyBorder="1" applyAlignment="1">
      <alignment horizontal="center"/>
    </xf>
    <xf numFmtId="49" fontId="0" fillId="0" borderId="44" xfId="0" applyNumberFormat="1" applyBorder="1" applyAlignment="1" applyProtection="1">
      <alignment horizontal="center" vertical="center"/>
      <protection locked="0"/>
    </xf>
    <xf numFmtId="49" fontId="0" fillId="0" borderId="27" xfId="0" applyNumberFormat="1" applyBorder="1" applyAlignment="1" applyProtection="1">
      <alignment horizontal="center"/>
      <protection locked="0"/>
    </xf>
    <xf numFmtId="49" fontId="0" fillId="0" borderId="57" xfId="0" applyNumberFormat="1" applyBorder="1" applyAlignment="1" applyProtection="1">
      <alignment horizontal="center"/>
      <protection locked="0"/>
    </xf>
    <xf numFmtId="0" fontId="0" fillId="12" borderId="57" xfId="0" applyFill="1" applyBorder="1" applyAlignment="1" applyProtection="1">
      <alignment horizontal="center"/>
      <protection locked="0"/>
    </xf>
    <xf numFmtId="49" fontId="0" fillId="0" borderId="35" xfId="0" applyNumberFormat="1" applyBorder="1" applyAlignment="1" applyProtection="1">
      <alignment horizontal="left" vertical="center"/>
      <protection locked="0"/>
    </xf>
    <xf numFmtId="49" fontId="0" fillId="0" borderId="56" xfId="0" applyNumberFormat="1" applyFont="1" applyFill="1" applyBorder="1" applyAlignment="1" applyProtection="1">
      <alignment horizontal="left" vertical="center"/>
      <protection locked="0"/>
    </xf>
    <xf numFmtId="0" fontId="0" fillId="0" borderId="62" xfId="0" applyBorder="1" applyAlignment="1">
      <alignment horizontal="center"/>
    </xf>
    <xf numFmtId="49" fontId="0" fillId="0" borderId="62" xfId="0" applyNumberFormat="1" applyBorder="1" applyAlignment="1" applyProtection="1">
      <alignment horizontal="center" vertical="center"/>
      <protection locked="0"/>
    </xf>
    <xf numFmtId="49" fontId="0" fillId="0" borderId="25" xfId="0" applyNumberFormat="1" applyBorder="1" applyAlignment="1" applyProtection="1">
      <alignment horizontal="center"/>
      <protection locked="0"/>
    </xf>
    <xf numFmtId="49" fontId="2" fillId="0" borderId="64" xfId="0" applyNumberFormat="1" applyFont="1" applyBorder="1" applyAlignment="1" applyProtection="1">
      <alignment horizontal="center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164" fontId="0" fillId="0" borderId="65" xfId="0" applyNumberFormat="1" applyBorder="1" applyAlignment="1" applyProtection="1">
      <alignment horizontal="center"/>
      <protection locked="0"/>
    </xf>
    <xf numFmtId="0" fontId="0" fillId="12" borderId="65" xfId="0" applyFill="1" applyBorder="1" applyAlignment="1" applyProtection="1">
      <alignment horizontal="center"/>
      <protection locked="0"/>
    </xf>
    <xf numFmtId="49" fontId="0" fillId="0" borderId="66" xfId="0" applyNumberFormat="1" applyBorder="1" applyAlignment="1" applyProtection="1">
      <alignment horizontal="left" vertical="center"/>
      <protection locked="0"/>
    </xf>
    <xf numFmtId="49" fontId="0" fillId="0" borderId="64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 vertical="center"/>
      <protection locked="0"/>
    </xf>
    <xf numFmtId="49" fontId="0" fillId="0" borderId="66" xfId="0" applyNumberFormat="1" applyBorder="1" applyAlignment="1" applyProtection="1">
      <alignment horizontal="left"/>
      <protection locked="0"/>
    </xf>
    <xf numFmtId="0" fontId="0" fillId="0" borderId="62" xfId="0" applyBorder="1" applyAlignment="1" applyProtection="1">
      <protection locked="0"/>
    </xf>
    <xf numFmtId="49" fontId="15" fillId="0" borderId="2" xfId="0" applyNumberFormat="1" applyFont="1" applyBorder="1" applyAlignment="1"/>
    <xf numFmtId="49" fontId="0" fillId="5" borderId="34" xfId="0" applyNumberFormat="1" applyFill="1" applyBorder="1" applyAlignment="1">
      <alignment horizontal="center"/>
    </xf>
    <xf numFmtId="49" fontId="0" fillId="9" borderId="34" xfId="0" applyNumberFormat="1" applyFill="1" applyBorder="1" applyAlignment="1">
      <alignment horizontal="center"/>
    </xf>
    <xf numFmtId="49" fontId="0" fillId="6" borderId="34" xfId="0" applyNumberFormat="1" applyFill="1" applyBorder="1" applyAlignment="1">
      <alignment horizontal="center"/>
    </xf>
    <xf numFmtId="49" fontId="0" fillId="10" borderId="34" xfId="0" applyNumberFormat="1" applyFill="1" applyBorder="1" applyAlignment="1">
      <alignment horizontal="center"/>
    </xf>
    <xf numFmtId="0" fontId="15" fillId="0" borderId="7" xfId="0" applyFont="1" applyBorder="1" applyAlignment="1">
      <alignment horizontal="right"/>
    </xf>
    <xf numFmtId="0" fontId="15" fillId="0" borderId="2" xfId="0" applyFont="1" applyBorder="1" applyAlignment="1">
      <alignment horizontal="right"/>
    </xf>
    <xf numFmtId="0" fontId="0" fillId="0" borderId="65" xfId="0" applyBorder="1"/>
    <xf numFmtId="0" fontId="15" fillId="0" borderId="21" xfId="0" applyFont="1" applyBorder="1" applyAlignment="1">
      <alignment horizontal="right"/>
    </xf>
    <xf numFmtId="164" fontId="0" fillId="0" borderId="65" xfId="0" applyNumberFormat="1" applyBorder="1"/>
    <xf numFmtId="0" fontId="17" fillId="0" borderId="2" xfId="0" applyFont="1" applyBorder="1"/>
    <xf numFmtId="0" fontId="17" fillId="0" borderId="57" xfId="0" applyFont="1" applyBorder="1"/>
    <xf numFmtId="0" fontId="0" fillId="0" borderId="8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8" xfId="0" applyBorder="1"/>
    <xf numFmtId="0" fontId="0" fillId="0" borderId="0" xfId="0" applyBorder="1"/>
    <xf numFmtId="0" fontId="2" fillId="0" borderId="34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0" fillId="8" borderId="31" xfId="0" applyFill="1" applyBorder="1" applyAlignment="1">
      <alignment horizontal="center"/>
    </xf>
    <xf numFmtId="0" fontId="2" fillId="8" borderId="32" xfId="0" applyFon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2" fillId="8" borderId="46" xfId="0" applyFont="1" applyFill="1" applyBorder="1" applyAlignment="1">
      <alignment horizontal="center"/>
    </xf>
    <xf numFmtId="0" fontId="0" fillId="0" borderId="28" xfId="0" applyBorder="1"/>
    <xf numFmtId="49" fontId="0" fillId="0" borderId="10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/>
      <protection locked="0"/>
    </xf>
    <xf numFmtId="49" fontId="0" fillId="0" borderId="23" xfId="0" applyNumberFormat="1" applyBorder="1" applyAlignment="1" applyProtection="1">
      <alignment horizontal="center" vertical="center"/>
      <protection locked="0"/>
    </xf>
    <xf numFmtId="49" fontId="0" fillId="0" borderId="2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33" xfId="0" applyBorder="1" applyAlignment="1">
      <alignment horizontal="center"/>
    </xf>
    <xf numFmtId="49" fontId="16" fillId="0" borderId="16" xfId="1" quotePrefix="1" applyNumberFormat="1" applyFont="1" applyBorder="1" applyAlignment="1" applyProtection="1">
      <alignment vertical="center"/>
      <protection locked="0"/>
    </xf>
    <xf numFmtId="49" fontId="16" fillId="0" borderId="60" xfId="1" applyNumberFormat="1" applyFont="1" applyBorder="1" applyAlignment="1" applyProtection="1">
      <alignment vertical="center"/>
      <protection locked="0"/>
    </xf>
    <xf numFmtId="49" fontId="16" fillId="0" borderId="16" xfId="1" applyNumberFormat="1" applyFont="1" applyBorder="1" applyAlignment="1" applyProtection="1">
      <alignment vertical="center"/>
      <protection locked="0"/>
    </xf>
    <xf numFmtId="49" fontId="16" fillId="0" borderId="19" xfId="1" applyNumberFormat="1" applyFont="1" applyBorder="1" applyAlignment="1" applyProtection="1">
      <alignment vertical="center"/>
      <protection locked="0"/>
    </xf>
    <xf numFmtId="49" fontId="16" fillId="0" borderId="16" xfId="1" applyNumberFormat="1" applyFont="1" applyBorder="1" applyAlignment="1"/>
    <xf numFmtId="49" fontId="17" fillId="0" borderId="16" xfId="0" applyNumberFormat="1" applyFont="1" applyBorder="1" applyAlignment="1"/>
    <xf numFmtId="49" fontId="17" fillId="0" borderId="43" xfId="0" applyNumberFormat="1" applyFont="1" applyBorder="1" applyAlignment="1"/>
    <xf numFmtId="0" fontId="2" fillId="0" borderId="68" xfId="0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0" fontId="2" fillId="0" borderId="63" xfId="0" applyFont="1" applyBorder="1" applyAlignment="1">
      <alignment vertical="center"/>
    </xf>
    <xf numFmtId="49" fontId="2" fillId="0" borderId="12" xfId="0" quotePrefix="1" applyNumberFormat="1" applyFont="1" applyBorder="1" applyAlignment="1" applyProtection="1">
      <alignment horizontal="center" vertical="center"/>
      <protection locked="0"/>
    </xf>
    <xf numFmtId="49" fontId="2" fillId="0" borderId="14" xfId="0" applyNumberFormat="1" applyFont="1" applyBorder="1" applyAlignment="1" applyProtection="1">
      <alignment horizontal="center" vertical="center"/>
      <protection locked="0"/>
    </xf>
    <xf numFmtId="49" fontId="2" fillId="0" borderId="14" xfId="0" applyNumberFormat="1" applyFont="1" applyBorder="1" applyAlignment="1">
      <alignment horizontal="center"/>
    </xf>
    <xf numFmtId="49" fontId="2" fillId="0" borderId="49" xfId="0" applyNumberFormat="1" applyFont="1" applyBorder="1" applyAlignment="1">
      <alignment horizontal="center"/>
    </xf>
    <xf numFmtId="49" fontId="2" fillId="0" borderId="12" xfId="0" applyNumberFormat="1" applyFont="1" applyBorder="1" applyAlignment="1" applyProtection="1">
      <alignment horizontal="center" vertical="center"/>
      <protection locked="0"/>
    </xf>
    <xf numFmtId="49" fontId="0" fillId="6" borderId="2" xfId="0" applyNumberFormat="1" applyFill="1" applyBorder="1" applyAlignment="1">
      <alignment horizontal="center"/>
    </xf>
    <xf numFmtId="49" fontId="0" fillId="10" borderId="2" xfId="0" applyNumberFormat="1" applyFill="1" applyBorder="1" applyAlignment="1">
      <alignment horizontal="center"/>
    </xf>
    <xf numFmtId="49" fontId="0" fillId="9" borderId="46" xfId="0" applyNumberFormat="1" applyFill="1" applyBorder="1" applyAlignment="1">
      <alignment horizontal="center"/>
    </xf>
    <xf numFmtId="0" fontId="5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9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13" fillId="2" borderId="0" xfId="1" applyFill="1" applyBorder="1" applyAlignment="1"/>
    <xf numFmtId="0" fontId="2" fillId="2" borderId="0" xfId="0" applyFont="1" applyFill="1" applyBorder="1" applyAlignment="1"/>
    <xf numFmtId="14" fontId="0" fillId="2" borderId="0" xfId="0" applyNumberFormat="1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39" xfId="0" applyFill="1" applyBorder="1"/>
    <xf numFmtId="0" fontId="18" fillId="2" borderId="0" xfId="1" applyFont="1" applyFill="1" applyBorder="1" applyAlignment="1"/>
    <xf numFmtId="0" fontId="19" fillId="2" borderId="0" xfId="1" applyFont="1" applyFill="1" applyBorder="1" applyAlignment="1"/>
    <xf numFmtId="0" fontId="0" fillId="2" borderId="7" xfId="0" applyFill="1" applyBorder="1" applyAlignment="1">
      <alignment horizontal="center"/>
    </xf>
    <xf numFmtId="9" fontId="0" fillId="2" borderId="39" xfId="0" applyNumberFormat="1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28" xfId="0" applyFill="1" applyBorder="1"/>
    <xf numFmtId="0" fontId="0" fillId="2" borderId="24" xfId="0" applyFill="1" applyBorder="1"/>
    <xf numFmtId="0" fontId="6" fillId="2" borderId="28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24" xfId="0" applyFont="1" applyFill="1" applyBorder="1" applyAlignment="1">
      <alignment horizontal="center"/>
    </xf>
    <xf numFmtId="0" fontId="5" fillId="2" borderId="28" xfId="0" applyFont="1" applyFill="1" applyBorder="1"/>
    <xf numFmtId="14" fontId="0" fillId="2" borderId="24" xfId="0" applyNumberFormat="1" applyFill="1" applyBorder="1" applyAlignment="1" applyProtection="1">
      <protection locked="0"/>
    </xf>
    <xf numFmtId="0" fontId="0" fillId="2" borderId="24" xfId="0" applyFill="1" applyBorder="1" applyAlignment="1" applyProtection="1">
      <protection locked="0"/>
    </xf>
    <xf numFmtId="0" fontId="2" fillId="2" borderId="24" xfId="0" applyFont="1" applyFill="1" applyBorder="1" applyAlignment="1">
      <alignment horizontal="center"/>
    </xf>
    <xf numFmtId="0" fontId="13" fillId="2" borderId="28" xfId="1" applyFill="1" applyBorder="1" applyAlignment="1"/>
    <xf numFmtId="0" fontId="0" fillId="2" borderId="24" xfId="0" applyFill="1" applyBorder="1" applyAlignment="1">
      <alignment horizontal="center"/>
    </xf>
    <xf numFmtId="0" fontId="18" fillId="2" borderId="28" xfId="1" applyFont="1" applyFill="1" applyBorder="1" applyAlignment="1"/>
    <xf numFmtId="0" fontId="6" fillId="2" borderId="0" xfId="0" applyFont="1" applyFill="1" applyBorder="1" applyAlignment="1">
      <alignment horizontal="center"/>
    </xf>
    <xf numFmtId="0" fontId="0" fillId="2" borderId="0" xfId="0" applyFill="1" applyBorder="1"/>
    <xf numFmtId="49" fontId="13" fillId="0" borderId="15" xfId="1" quotePrefix="1" applyNumberFormat="1" applyBorder="1" applyAlignment="1" applyProtection="1">
      <alignment vertical="center"/>
      <protection locked="0"/>
    </xf>
    <xf numFmtId="49" fontId="2" fillId="0" borderId="44" xfId="0" applyNumberFormat="1" applyFont="1" applyBorder="1" applyAlignment="1" applyProtection="1">
      <alignment horizontal="center" vertical="center"/>
      <protection locked="0"/>
    </xf>
    <xf numFmtId="49" fontId="2" fillId="0" borderId="62" xfId="0" applyNumberFormat="1" applyFont="1" applyBorder="1" applyAlignment="1" applyProtection="1">
      <alignment horizontal="center" vertical="center"/>
      <protection locked="0"/>
    </xf>
    <xf numFmtId="49" fontId="2" fillId="0" borderId="14" xfId="0" quotePrefix="1" applyNumberFormat="1" applyFont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/>
    <xf numFmtId="0" fontId="2" fillId="2" borderId="0" xfId="0" applyFont="1" applyFill="1" applyBorder="1" applyAlignment="1" applyProtection="1">
      <protection locked="0"/>
    </xf>
    <xf numFmtId="0" fontId="6" fillId="2" borderId="0" xfId="0" applyFont="1" applyFill="1" applyBorder="1" applyAlignment="1"/>
    <xf numFmtId="0" fontId="5" fillId="2" borderId="0" xfId="0" applyFont="1" applyFill="1" applyBorder="1" applyAlignment="1" applyProtection="1">
      <protection locked="0"/>
    </xf>
    <xf numFmtId="0" fontId="0" fillId="2" borderId="22" xfId="0" applyFill="1" applyBorder="1"/>
    <xf numFmtId="0" fontId="0" fillId="2" borderId="21" xfId="0" applyFill="1" applyBorder="1"/>
    <xf numFmtId="0" fontId="0" fillId="2" borderId="25" xfId="0" applyFill="1" applyBorder="1"/>
    <xf numFmtId="0" fontId="6" fillId="2" borderId="28" xfId="0" applyFont="1" applyFill="1" applyBorder="1" applyAlignment="1"/>
    <xf numFmtId="0" fontId="6" fillId="2" borderId="24" xfId="0" applyFont="1" applyFill="1" applyBorder="1" applyAlignment="1"/>
    <xf numFmtId="0" fontId="0" fillId="2" borderId="28" xfId="0" applyFill="1" applyBorder="1" applyAlignment="1"/>
    <xf numFmtId="0" fontId="2" fillId="2" borderId="28" xfId="0" applyFont="1" applyFill="1" applyBorder="1" applyAlignment="1"/>
    <xf numFmtId="0" fontId="2" fillId="2" borderId="28" xfId="0" applyFont="1" applyFill="1" applyBorder="1"/>
    <xf numFmtId="0" fontId="0" fillId="2" borderId="26" xfId="0" applyFill="1" applyBorder="1"/>
    <xf numFmtId="0" fontId="0" fillId="2" borderId="23" xfId="0" applyFill="1" applyBorder="1"/>
    <xf numFmtId="0" fontId="0" fillId="2" borderId="27" xfId="0" applyFill="1" applyBorder="1"/>
    <xf numFmtId="0" fontId="2" fillId="8" borderId="46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/>
    </xf>
    <xf numFmtId="0" fontId="14" fillId="2" borderId="36" xfId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4" fillId="2" borderId="11" xfId="1" applyFont="1" applyFill="1" applyBorder="1" applyAlignment="1">
      <alignment horizontal="center"/>
    </xf>
    <xf numFmtId="0" fontId="2" fillId="2" borderId="36" xfId="0" applyFont="1" applyFill="1" applyBorder="1" applyAlignment="1">
      <alignment horizontal="center"/>
    </xf>
    <xf numFmtId="0" fontId="2" fillId="2" borderId="51" xfId="0" applyFont="1" applyFill="1" applyBorder="1" applyAlignment="1">
      <alignment horizontal="center"/>
    </xf>
    <xf numFmtId="9" fontId="2" fillId="2" borderId="51" xfId="0" applyNumberFormat="1" applyFont="1" applyFill="1" applyBorder="1" applyAlignment="1">
      <alignment horizontal="center"/>
    </xf>
    <xf numFmtId="0" fontId="14" fillId="2" borderId="52" xfId="1" applyFont="1" applyFill="1" applyBorder="1" applyAlignment="1">
      <alignment horizontal="left"/>
    </xf>
    <xf numFmtId="0" fontId="14" fillId="2" borderId="53" xfId="1" applyFont="1" applyFill="1" applyBorder="1" applyAlignment="1">
      <alignment horizontal="center"/>
    </xf>
    <xf numFmtId="0" fontId="2" fillId="2" borderId="54" xfId="0" applyFont="1" applyFill="1" applyBorder="1" applyAlignment="1">
      <alignment horizontal="center"/>
    </xf>
    <xf numFmtId="0" fontId="19" fillId="2" borderId="31" xfId="1" applyFont="1" applyFill="1" applyBorder="1" applyAlignment="1">
      <alignment horizontal="center"/>
    </xf>
    <xf numFmtId="0" fontId="19" fillId="2" borderId="7" xfId="1" applyFont="1" applyFill="1" applyBorder="1" applyAlignment="1">
      <alignment horizontal="center"/>
    </xf>
    <xf numFmtId="0" fontId="14" fillId="2" borderId="31" xfId="1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4" fillId="2" borderId="31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2" borderId="33" xfId="0" applyFont="1" applyFill="1" applyBorder="1" applyAlignment="1">
      <alignment horizontal="center"/>
    </xf>
    <xf numFmtId="0" fontId="19" fillId="2" borderId="40" xfId="0" applyFont="1" applyFill="1" applyBorder="1" applyAlignment="1">
      <alignment horizontal="center"/>
    </xf>
    <xf numFmtId="0" fontId="14" fillId="2" borderId="22" xfId="1" applyFont="1" applyFill="1" applyBorder="1" applyAlignment="1"/>
    <xf numFmtId="0" fontId="20" fillId="2" borderId="25" xfId="1" applyFont="1" applyFill="1" applyBorder="1" applyAlignment="1"/>
    <xf numFmtId="0" fontId="0" fillId="2" borderId="65" xfId="0" applyFill="1" applyBorder="1" applyAlignment="1">
      <alignment horizontal="center"/>
    </xf>
    <xf numFmtId="9" fontId="2" fillId="2" borderId="11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0" fillId="2" borderId="31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9" fontId="0" fillId="2" borderId="2" xfId="0" applyNumberFormat="1" applyFill="1" applyBorder="1" applyAlignment="1">
      <alignment horizontal="right"/>
    </xf>
    <xf numFmtId="0" fontId="2" fillId="2" borderId="3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9" fontId="2" fillId="2" borderId="2" xfId="0" applyNumberFormat="1" applyFont="1" applyFill="1" applyBorder="1" applyAlignment="1">
      <alignment horizontal="right"/>
    </xf>
    <xf numFmtId="0" fontId="0" fillId="2" borderId="33" xfId="0" applyFill="1" applyBorder="1" applyAlignment="1">
      <alignment horizontal="right"/>
    </xf>
    <xf numFmtId="0" fontId="0" fillId="2" borderId="34" xfId="0" applyFill="1" applyBorder="1" applyAlignment="1">
      <alignment horizontal="right"/>
    </xf>
    <xf numFmtId="0" fontId="13" fillId="2" borderId="31" xfId="1" applyFill="1" applyBorder="1" applyAlignment="1">
      <alignment horizontal="right"/>
    </xf>
    <xf numFmtId="0" fontId="13" fillId="2" borderId="2" xfId="1" applyFill="1" applyBorder="1" applyAlignment="1">
      <alignment horizontal="right"/>
    </xf>
    <xf numFmtId="9" fontId="13" fillId="2" borderId="2" xfId="1" applyNumberFormat="1" applyFill="1" applyBorder="1" applyAlignment="1">
      <alignment horizontal="right"/>
    </xf>
    <xf numFmtId="0" fontId="4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right" vertical="center"/>
    </xf>
    <xf numFmtId="0" fontId="13" fillId="2" borderId="16" xfId="1" applyFill="1" applyBorder="1" applyAlignment="1">
      <alignment horizontal="center"/>
    </xf>
    <xf numFmtId="0" fontId="13" fillId="2" borderId="18" xfId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7" xfId="0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39" xfId="0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 textRotation="90"/>
    </xf>
    <xf numFmtId="0" fontId="2" fillId="7" borderId="5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2" fillId="2" borderId="0" xfId="0" applyFont="1" applyFill="1" applyAlignment="1" applyProtection="1">
      <alignment horizontal="center"/>
      <protection locked="0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13" fillId="2" borderId="15" xfId="1" applyFill="1" applyBorder="1" applyAlignment="1">
      <alignment horizontal="center"/>
    </xf>
    <xf numFmtId="0" fontId="13" fillId="2" borderId="17" xfId="1" applyFill="1" applyBorder="1" applyAlignment="1">
      <alignment horizontal="center"/>
    </xf>
    <xf numFmtId="14" fontId="0" fillId="2" borderId="7" xfId="0" applyNumberFormat="1" applyFill="1" applyBorder="1" applyAlignment="1" applyProtection="1">
      <alignment horizontal="left"/>
      <protection locked="0"/>
    </xf>
    <xf numFmtId="14" fontId="0" fillId="2" borderId="8" xfId="0" applyNumberFormat="1" applyFill="1" applyBorder="1" applyAlignment="1" applyProtection="1">
      <alignment horizontal="left"/>
      <protection locked="0"/>
    </xf>
    <xf numFmtId="14" fontId="0" fillId="2" borderId="39" xfId="0" applyNumberFormat="1" applyFill="1" applyBorder="1" applyAlignment="1" applyProtection="1">
      <alignment horizontal="left"/>
      <protection locked="0"/>
    </xf>
    <xf numFmtId="0" fontId="2" fillId="7" borderId="11" xfId="0" applyFont="1" applyFill="1" applyBorder="1" applyAlignment="1">
      <alignment horizontal="center"/>
    </xf>
    <xf numFmtId="0" fontId="2" fillId="2" borderId="50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12" xfId="0" applyFont="1" applyFill="1" applyBorder="1" applyAlignment="1" applyProtection="1">
      <alignment horizontal="center" vertical="center" wrapText="1"/>
      <protection locked="0"/>
    </xf>
    <xf numFmtId="0" fontId="2" fillId="2" borderId="49" xfId="0" applyFont="1" applyFill="1" applyBorder="1" applyAlignment="1" applyProtection="1">
      <alignment horizontal="center" vertical="center" wrapText="1"/>
      <protection locked="0"/>
    </xf>
    <xf numFmtId="0" fontId="2" fillId="2" borderId="50" xfId="0" applyFont="1" applyFill="1" applyBorder="1" applyAlignment="1" applyProtection="1">
      <alignment horizontal="center" vertical="center"/>
      <protection locked="0"/>
    </xf>
    <xf numFmtId="0" fontId="2" fillId="2" borderId="55" xfId="0" applyFont="1" applyFill="1" applyBorder="1" applyAlignment="1" applyProtection="1">
      <alignment horizontal="center" vertical="center"/>
      <protection locked="0"/>
    </xf>
    <xf numFmtId="0" fontId="2" fillId="2" borderId="53" xfId="0" applyFont="1" applyFill="1" applyBorder="1" applyAlignment="1" applyProtection="1">
      <alignment horizontal="center" vertical="center"/>
      <protection locked="0"/>
    </xf>
    <xf numFmtId="0" fontId="2" fillId="2" borderId="51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left"/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39" xfId="0" applyFill="1" applyBorder="1"/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39" xfId="0" applyFill="1" applyBorder="1" applyAlignment="1"/>
    <xf numFmtId="0" fontId="2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0" fillId="2" borderId="24" xfId="0" applyFill="1" applyBorder="1" applyAlignment="1" applyProtection="1">
      <alignment horizontal="left"/>
      <protection locked="0"/>
    </xf>
    <xf numFmtId="0" fontId="0" fillId="2" borderId="0" xfId="0" applyFill="1" applyBorder="1"/>
    <xf numFmtId="0" fontId="0" fillId="2" borderId="0" xfId="0" applyFill="1" applyBorder="1" applyAlignment="1"/>
    <xf numFmtId="0" fontId="2" fillId="2" borderId="28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right" vertical="center"/>
    </xf>
    <xf numFmtId="0" fontId="13" fillId="2" borderId="7" xfId="1" applyFill="1" applyBorder="1" applyAlignment="1">
      <alignment horizontal="left"/>
    </xf>
    <xf numFmtId="0" fontId="19" fillId="2" borderId="8" xfId="0" applyFont="1" applyFill="1" applyBorder="1" applyAlignment="1">
      <alignment horizontal="left"/>
    </xf>
    <xf numFmtId="0" fontId="19" fillId="2" borderId="39" xfId="0" applyFont="1" applyFill="1" applyBorder="1" applyAlignment="1">
      <alignment horizontal="left"/>
    </xf>
    <xf numFmtId="0" fontId="19" fillId="2" borderId="8" xfId="1" applyFont="1" applyFill="1" applyBorder="1" applyAlignment="1">
      <alignment horizontal="left"/>
    </xf>
    <xf numFmtId="0" fontId="19" fillId="2" borderId="39" xfId="1" applyFont="1" applyFill="1" applyBorder="1" applyAlignment="1">
      <alignment horizontal="left"/>
    </xf>
    <xf numFmtId="0" fontId="2" fillId="0" borderId="50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13" fillId="0" borderId="39" xfId="1" applyBorder="1" applyAlignment="1"/>
    <xf numFmtId="0" fontId="13" fillId="0" borderId="2" xfId="1" applyBorder="1" applyAlignment="1"/>
    <xf numFmtId="0" fontId="0" fillId="0" borderId="39" xfId="0" applyBorder="1" applyAlignment="1"/>
    <xf numFmtId="0" fontId="0" fillId="0" borderId="2" xfId="0" applyBorder="1" applyAlignment="1"/>
    <xf numFmtId="9" fontId="0" fillId="7" borderId="60" xfId="0" applyNumberFormat="1" applyFill="1" applyBorder="1" applyAlignment="1">
      <alignment horizontal="center"/>
    </xf>
    <xf numFmtId="9" fontId="0" fillId="7" borderId="61" xfId="0" applyNumberForma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0" fillId="0" borderId="8" xfId="0" applyBorder="1" applyAlignment="1"/>
    <xf numFmtId="49" fontId="0" fillId="0" borderId="7" xfId="0" applyNumberFormat="1" applyBorder="1"/>
    <xf numFmtId="49" fontId="0" fillId="0" borderId="8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0" fontId="2" fillId="0" borderId="41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49" fontId="0" fillId="0" borderId="16" xfId="0" applyNumberFormat="1" applyBorder="1" applyAlignment="1"/>
    <xf numFmtId="49" fontId="0" fillId="0" borderId="18" xfId="0" applyNumberFormat="1" applyBorder="1" applyAlignment="1"/>
    <xf numFmtId="49" fontId="0" fillId="0" borderId="7" xfId="0" applyNumberFormat="1" applyBorder="1" applyAlignment="1" applyProtection="1">
      <protection locked="0"/>
    </xf>
    <xf numFmtId="49" fontId="0" fillId="0" borderId="8" xfId="0" applyNumberFormat="1" applyBorder="1" applyAlignment="1" applyProtection="1">
      <protection locked="0"/>
    </xf>
    <xf numFmtId="49" fontId="0" fillId="0" borderId="18" xfId="0" applyNumberFormat="1" applyBorder="1" applyAlignment="1" applyProtection="1">
      <protection locked="0"/>
    </xf>
    <xf numFmtId="49" fontId="0" fillId="0" borderId="18" xfId="0" applyNumberFormat="1" applyBorder="1"/>
    <xf numFmtId="0" fontId="2" fillId="8" borderId="66" xfId="0" applyFont="1" applyFill="1" applyBorder="1" applyAlignment="1">
      <alignment horizontal="center" vertical="center"/>
    </xf>
    <xf numFmtId="0" fontId="2" fillId="8" borderId="63" xfId="0" applyFont="1" applyFill="1" applyBorder="1" applyAlignment="1">
      <alignment horizontal="center" vertical="center"/>
    </xf>
    <xf numFmtId="0" fontId="2" fillId="0" borderId="67" xfId="0" applyFont="1" applyBorder="1" applyAlignment="1">
      <alignment horizontal="center" vertical="center" wrapText="1"/>
    </xf>
    <xf numFmtId="0" fontId="2" fillId="0" borderId="68" xfId="0" applyFont="1" applyBorder="1" applyAlignment="1">
      <alignment horizontal="center" vertical="center" wrapText="1"/>
    </xf>
    <xf numFmtId="0" fontId="0" fillId="0" borderId="2" xfId="0" applyBorder="1"/>
    <xf numFmtId="0" fontId="2" fillId="0" borderId="16" xfId="0" applyFont="1" applyBorder="1"/>
    <xf numFmtId="0" fontId="2" fillId="0" borderId="18" xfId="0" applyFont="1" applyBorder="1"/>
    <xf numFmtId="0" fontId="2" fillId="0" borderId="13" xfId="0" applyFont="1" applyBorder="1" applyAlignment="1">
      <alignment horizontal="center" vertical="center"/>
    </xf>
    <xf numFmtId="49" fontId="0" fillId="0" borderId="9" xfId="0" applyNumberForma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0" fontId="2" fillId="0" borderId="53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49" fontId="0" fillId="0" borderId="26" xfId="0" applyNumberFormat="1" applyBorder="1" applyAlignment="1" applyProtection="1">
      <protection locked="0"/>
    </xf>
    <xf numFmtId="49" fontId="0" fillId="0" borderId="23" xfId="0" applyNumberFormat="1" applyBorder="1" applyAlignment="1" applyProtection="1">
      <protection locked="0"/>
    </xf>
    <xf numFmtId="49" fontId="0" fillId="0" borderId="22" xfId="0" applyNumberFormat="1" applyBorder="1" applyAlignment="1" applyProtection="1">
      <protection locked="0"/>
    </xf>
    <xf numFmtId="49" fontId="0" fillId="0" borderId="21" xfId="0" applyNumberFormat="1" applyBorder="1" applyAlignment="1" applyProtection="1">
      <protection locked="0"/>
    </xf>
    <xf numFmtId="0" fontId="0" fillId="0" borderId="7" xfId="0" applyBorder="1" applyAlignment="1"/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49" fontId="0" fillId="0" borderId="16" xfId="0" applyNumberFormat="1" applyBorder="1" applyAlignment="1" applyProtection="1">
      <alignment vertical="center"/>
      <protection locked="0"/>
    </xf>
    <xf numFmtId="49" fontId="0" fillId="0" borderId="18" xfId="0" applyNumberFormat="1" applyBorder="1" applyAlignment="1" applyProtection="1">
      <alignment vertical="center"/>
      <protection locked="0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5" xfId="0" applyFont="1" applyBorder="1"/>
    <xf numFmtId="0" fontId="2" fillId="0" borderId="17" xfId="0" applyFont="1" applyBorder="1"/>
    <xf numFmtId="49" fontId="0" fillId="0" borderId="8" xfId="0" applyNumberFormat="1" applyBorder="1" applyAlignment="1">
      <alignment horizontal="left"/>
    </xf>
    <xf numFmtId="49" fontId="0" fillId="0" borderId="39" xfId="0" applyNumberFormat="1" applyBorder="1" applyAlignment="1">
      <alignment horizontal="left"/>
    </xf>
    <xf numFmtId="49" fontId="0" fillId="0" borderId="7" xfId="0" applyNumberFormat="1" applyBorder="1" applyAlignment="1"/>
    <xf numFmtId="49" fontId="0" fillId="0" borderId="8" xfId="0" applyNumberFormat="1" applyBorder="1" applyAlignment="1"/>
    <xf numFmtId="0" fontId="0" fillId="0" borderId="43" xfId="0" applyBorder="1"/>
    <xf numFmtId="0" fontId="0" fillId="0" borderId="42" xfId="0" applyBorder="1"/>
    <xf numFmtId="9" fontId="0" fillId="7" borderId="5" xfId="0" applyNumberFormat="1" applyFill="1" applyBorder="1" applyAlignment="1">
      <alignment horizontal="center"/>
    </xf>
    <xf numFmtId="9" fontId="0" fillId="7" borderId="4" xfId="0" applyNumberForma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0" fontId="2" fillId="0" borderId="7" xfId="0" applyFont="1" applyBorder="1"/>
    <xf numFmtId="0" fontId="2" fillId="0" borderId="39" xfId="0" applyFont="1" applyBorder="1"/>
    <xf numFmtId="0" fontId="2" fillId="0" borderId="8" xfId="0" applyFont="1" applyBorder="1"/>
    <xf numFmtId="0" fontId="2" fillId="0" borderId="65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39" xfId="0" applyBorder="1"/>
    <xf numFmtId="0" fontId="0" fillId="0" borderId="22" xfId="0" applyBorder="1"/>
    <xf numFmtId="0" fontId="0" fillId="0" borderId="21" xfId="0" applyBorder="1"/>
    <xf numFmtId="0" fontId="0" fillId="0" borderId="25" xfId="0" applyBorder="1"/>
    <xf numFmtId="0" fontId="0" fillId="0" borderId="28" xfId="0" applyBorder="1"/>
    <xf numFmtId="0" fontId="0" fillId="0" borderId="0" xfId="0" applyBorder="1"/>
    <xf numFmtId="0" fontId="0" fillId="0" borderId="24" xfId="0" applyBorder="1"/>
    <xf numFmtId="0" fontId="0" fillId="0" borderId="26" xfId="0" applyBorder="1"/>
    <xf numFmtId="0" fontId="0" fillId="0" borderId="23" xfId="0" applyBorder="1"/>
    <xf numFmtId="0" fontId="0" fillId="0" borderId="27" xfId="0" applyBorder="1"/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49" fontId="0" fillId="0" borderId="15" xfId="0" quotePrefix="1" applyNumberFormat="1" applyBorder="1" applyAlignment="1" applyProtection="1">
      <alignment vertical="center"/>
      <protection locked="0"/>
    </xf>
    <xf numFmtId="49" fontId="0" fillId="0" borderId="17" xfId="0" quotePrefix="1" applyNumberFormat="1" applyBorder="1" applyAlignment="1" applyProtection="1">
      <alignment vertical="center"/>
      <protection locked="0"/>
    </xf>
    <xf numFmtId="49" fontId="0" fillId="0" borderId="43" xfId="0" applyNumberFormat="1" applyBorder="1" applyAlignment="1"/>
    <xf numFmtId="49" fontId="0" fillId="0" borderId="42" xfId="0" applyNumberFormat="1" applyBorder="1" applyAlignment="1"/>
  </cellXfs>
  <cellStyles count="2">
    <cellStyle name="Link" xfId="1" builtinId="8"/>
    <cellStyle name="Standard" xfId="0" builtinId="0"/>
  </cellStyles>
  <dxfs count="816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707173"/>
      <color rgb="FF777777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356988</xdr:colOff>
      <xdr:row>2</xdr:row>
      <xdr:rowOff>127582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65" y="190500"/>
          <a:ext cx="1791341" cy="318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261738</xdr:colOff>
      <xdr:row>2</xdr:row>
      <xdr:rowOff>127582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90500"/>
          <a:ext cx="1785738" cy="318082"/>
        </a:xfrm>
        <a:prstGeom prst="rect">
          <a:avLst/>
        </a:prstGeom>
      </xdr:spPr>
    </xdr:pic>
    <xdr:clientData/>
  </xdr:twoCellAnchor>
  <xdr:oneCellAnchor>
    <xdr:from>
      <xdr:col>11</xdr:col>
      <xdr:colOff>0</xdr:colOff>
      <xdr:row>1</xdr:row>
      <xdr:rowOff>0</xdr:rowOff>
    </xdr:from>
    <xdr:ext cx="1785738" cy="318082"/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63" y="190500"/>
          <a:ext cx="1785738" cy="3180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1785738" cy="318082"/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63" y="190500"/>
          <a:ext cx="1785738" cy="31808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261738</xdr:colOff>
      <xdr:row>2</xdr:row>
      <xdr:rowOff>127582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90500"/>
          <a:ext cx="1785738" cy="318082"/>
        </a:xfrm>
        <a:prstGeom prst="rect">
          <a:avLst/>
        </a:prstGeom>
      </xdr:spPr>
    </xdr:pic>
    <xdr:clientData/>
  </xdr:twoCellAnchor>
  <xdr:oneCellAnchor>
    <xdr:from>
      <xdr:col>11</xdr:col>
      <xdr:colOff>0</xdr:colOff>
      <xdr:row>1</xdr:row>
      <xdr:rowOff>0</xdr:rowOff>
    </xdr:from>
    <xdr:ext cx="1785738" cy="318082"/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190500"/>
          <a:ext cx="1785738" cy="3180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1785738" cy="318082"/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190500"/>
          <a:ext cx="1785738" cy="31808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5" tint="0.39997558519241921"/>
  </sheetPr>
  <dimension ref="B1:AG50"/>
  <sheetViews>
    <sheetView tabSelected="1" zoomScale="80" zoomScaleNormal="80" workbookViewId="0">
      <selection activeCell="B9" sqref="B9:J9"/>
    </sheetView>
  </sheetViews>
  <sheetFormatPr baseColWidth="10" defaultRowHeight="15" x14ac:dyDescent="0.25"/>
  <cols>
    <col min="1" max="1" width="4.7109375" customWidth="1"/>
    <col min="2" max="8" width="10.7109375" customWidth="1"/>
    <col min="9" max="9" width="5.7109375" style="1" customWidth="1"/>
    <col min="10" max="10" width="5.7109375" customWidth="1"/>
    <col min="11" max="12" width="4.7109375" customWidth="1"/>
    <col min="13" max="18" width="10.7109375" customWidth="1"/>
    <col min="19" max="19" width="10.7109375" style="1" customWidth="1"/>
    <col min="20" max="20" width="10.7109375" customWidth="1"/>
    <col min="21" max="21" width="4.7109375" customWidth="1"/>
    <col min="22" max="22" width="4.7109375" style="1" customWidth="1"/>
    <col min="23" max="28" width="10.7109375" style="1" customWidth="1"/>
    <col min="29" max="31" width="3.7109375" style="1" customWidth="1"/>
    <col min="32" max="32" width="11.7109375" style="1" customWidth="1"/>
    <col min="33" max="33" width="4.7109375" style="1" customWidth="1"/>
  </cols>
  <sheetData>
    <row r="1" spans="2:32" x14ac:dyDescent="0.25">
      <c r="B1" s="3"/>
      <c r="C1" s="3"/>
      <c r="D1" s="3"/>
      <c r="E1" s="3"/>
      <c r="F1" s="3"/>
      <c r="G1" s="321" t="s">
        <v>0</v>
      </c>
      <c r="H1" s="322"/>
      <c r="I1" s="322"/>
      <c r="J1" s="322"/>
      <c r="K1" s="1"/>
      <c r="L1" s="1"/>
      <c r="M1" s="8" t="str">
        <f>B6</f>
        <v>Testing Overview</v>
      </c>
      <c r="N1" s="9"/>
      <c r="O1" s="9"/>
      <c r="P1" s="9"/>
      <c r="Q1" s="9"/>
      <c r="R1" s="9"/>
      <c r="S1" s="9"/>
      <c r="T1" s="10" t="str">
        <f>B9</f>
        <v>&lt;INSERT PRODUCT NAME HERE&gt;</v>
      </c>
      <c r="W1" s="8" t="str">
        <f>B6</f>
        <v>Testing Overview</v>
      </c>
      <c r="X1" s="9"/>
      <c r="Y1" s="9"/>
      <c r="Z1" s="9"/>
      <c r="AA1" s="9"/>
      <c r="AB1" s="9"/>
      <c r="AC1" s="9"/>
      <c r="AD1" s="9"/>
      <c r="AE1" s="9"/>
      <c r="AF1" s="10" t="str">
        <f>B9</f>
        <v>&lt;INSERT PRODUCT NAME HERE&gt;</v>
      </c>
    </row>
    <row r="2" spans="2:32" ht="15" customHeight="1" x14ac:dyDescent="0.25">
      <c r="B2" s="3"/>
      <c r="C2" s="3"/>
      <c r="D2" s="3"/>
      <c r="E2" s="3"/>
      <c r="F2" s="3"/>
      <c r="G2" s="322"/>
      <c r="H2" s="322"/>
      <c r="I2" s="322"/>
      <c r="J2" s="322"/>
      <c r="K2" s="1"/>
      <c r="L2" s="1"/>
      <c r="M2" s="11"/>
      <c r="N2" s="11"/>
      <c r="O2" s="11"/>
      <c r="P2" s="11"/>
      <c r="Q2" s="11"/>
      <c r="R2" s="11"/>
      <c r="S2" s="11"/>
      <c r="T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2:32" ht="15" customHeight="1" x14ac:dyDescent="0.25">
      <c r="B3" s="3"/>
      <c r="C3" s="3"/>
      <c r="D3" s="3"/>
      <c r="E3" s="3"/>
      <c r="F3" s="3"/>
      <c r="G3" s="322"/>
      <c r="H3" s="322"/>
      <c r="I3" s="322"/>
      <c r="J3" s="322"/>
      <c r="K3" s="1"/>
      <c r="L3" s="1"/>
      <c r="M3" s="307" t="s">
        <v>43</v>
      </c>
      <c r="N3" s="307"/>
      <c r="O3" s="307"/>
      <c r="P3" s="307"/>
      <c r="Q3" s="307"/>
      <c r="R3" s="307"/>
      <c r="S3" s="307"/>
      <c r="T3" s="307"/>
      <c r="W3" s="307" t="s">
        <v>51</v>
      </c>
      <c r="X3" s="307"/>
      <c r="Y3" s="307"/>
      <c r="Z3" s="307"/>
      <c r="AA3" s="307"/>
      <c r="AB3" s="307"/>
      <c r="AC3" s="307"/>
      <c r="AD3" s="307"/>
      <c r="AE3" s="307"/>
      <c r="AF3" s="307"/>
    </row>
    <row r="4" spans="2:32" ht="15" customHeight="1" x14ac:dyDescent="0.25">
      <c r="B4" s="2"/>
      <c r="C4" s="2"/>
      <c r="D4" s="2"/>
      <c r="E4" s="2"/>
      <c r="F4" s="2"/>
      <c r="G4" s="323"/>
      <c r="H4" s="323"/>
      <c r="I4" s="323"/>
      <c r="J4" s="323"/>
      <c r="K4" s="1"/>
      <c r="L4" s="1"/>
      <c r="M4" s="307"/>
      <c r="N4" s="307"/>
      <c r="O4" s="307"/>
      <c r="P4" s="307"/>
      <c r="Q4" s="307"/>
      <c r="R4" s="307"/>
      <c r="S4" s="307"/>
      <c r="T4" s="307"/>
      <c r="W4" s="307"/>
      <c r="X4" s="307"/>
      <c r="Y4" s="307"/>
      <c r="Z4" s="307"/>
      <c r="AA4" s="307"/>
      <c r="AB4" s="307"/>
      <c r="AC4" s="307"/>
      <c r="AD4" s="307"/>
      <c r="AE4" s="307"/>
      <c r="AF4" s="307"/>
    </row>
    <row r="5" spans="2:32" ht="15" customHeight="1" x14ac:dyDescent="0.25">
      <c r="B5" s="3"/>
      <c r="C5" s="3"/>
      <c r="D5" s="3"/>
      <c r="E5" s="3"/>
      <c r="F5" s="3"/>
      <c r="G5" s="3"/>
      <c r="H5" s="3"/>
      <c r="I5" s="3"/>
      <c r="J5" s="3"/>
      <c r="K5" s="1"/>
      <c r="L5" s="1"/>
      <c r="M5" s="3"/>
      <c r="N5" s="3"/>
      <c r="O5" s="3"/>
      <c r="P5" s="3"/>
      <c r="Q5" s="3"/>
      <c r="R5" s="3"/>
      <c r="S5" s="28"/>
      <c r="T5" s="3"/>
      <c r="W5" s="3"/>
      <c r="X5" s="3"/>
      <c r="Y5" s="3"/>
      <c r="Z5" s="3"/>
      <c r="AA5" s="3"/>
      <c r="AB5" s="3"/>
      <c r="AC5" s="318" t="s">
        <v>57</v>
      </c>
      <c r="AD5" s="318" t="s">
        <v>59</v>
      </c>
      <c r="AF5" s="3"/>
    </row>
    <row r="6" spans="2:32" ht="15" customHeight="1" x14ac:dyDescent="0.25">
      <c r="B6" s="307" t="s">
        <v>10</v>
      </c>
      <c r="C6" s="307"/>
      <c r="D6" s="307"/>
      <c r="E6" s="307"/>
      <c r="F6" s="307"/>
      <c r="G6" s="307"/>
      <c r="H6" s="307"/>
      <c r="I6" s="307"/>
      <c r="J6" s="307"/>
      <c r="K6" s="1"/>
      <c r="L6" s="1"/>
      <c r="M6" s="5" t="s">
        <v>44</v>
      </c>
      <c r="N6" s="3"/>
      <c r="O6" s="3"/>
      <c r="P6" s="3"/>
      <c r="Q6" s="3"/>
      <c r="R6" s="3"/>
      <c r="S6" s="28"/>
      <c r="T6" s="3"/>
      <c r="W6" s="5" t="s">
        <v>52</v>
      </c>
      <c r="X6" s="3"/>
      <c r="Y6" s="3"/>
      <c r="Z6" s="3"/>
      <c r="AA6" s="3"/>
      <c r="AB6" s="3"/>
      <c r="AC6" s="318"/>
      <c r="AD6" s="318"/>
      <c r="AE6" s="318" t="s">
        <v>58</v>
      </c>
      <c r="AF6" s="3"/>
    </row>
    <row r="7" spans="2:32" ht="15.75" thickBot="1" x14ac:dyDescent="0.3">
      <c r="B7" s="307"/>
      <c r="C7" s="307"/>
      <c r="D7" s="307"/>
      <c r="E7" s="307"/>
      <c r="F7" s="307"/>
      <c r="G7" s="307"/>
      <c r="H7" s="307"/>
      <c r="I7" s="307"/>
      <c r="J7" s="307"/>
      <c r="K7" s="1"/>
      <c r="L7" s="1"/>
      <c r="M7" s="13"/>
      <c r="N7" s="13"/>
      <c r="O7" s="13"/>
      <c r="P7" s="3"/>
      <c r="Q7" s="3"/>
      <c r="R7" s="3"/>
      <c r="S7" s="28"/>
      <c r="T7" s="3"/>
      <c r="W7" s="13"/>
      <c r="X7" s="13"/>
      <c r="Y7" s="13"/>
      <c r="Z7" s="3"/>
      <c r="AA7" s="3"/>
      <c r="AB7" s="3"/>
      <c r="AC7" s="318"/>
      <c r="AD7" s="318"/>
      <c r="AE7" s="318"/>
      <c r="AF7" s="3"/>
    </row>
    <row r="8" spans="2:32" x14ac:dyDescent="0.25">
      <c r="B8" s="3"/>
      <c r="C8" s="3"/>
      <c r="D8" s="3"/>
      <c r="E8" s="3"/>
      <c r="F8" s="3"/>
      <c r="G8" s="3"/>
      <c r="H8" s="3"/>
      <c r="I8" s="3"/>
      <c r="J8" s="3"/>
      <c r="K8" s="1"/>
      <c r="L8" s="1"/>
      <c r="M8" s="13"/>
      <c r="N8" s="334" t="s">
        <v>45</v>
      </c>
      <c r="O8" s="336" t="s">
        <v>46</v>
      </c>
      <c r="P8" s="59"/>
      <c r="Q8" s="338" t="s">
        <v>49</v>
      </c>
      <c r="R8" s="340" t="s">
        <v>50</v>
      </c>
      <c r="S8" s="64"/>
      <c r="T8" s="3"/>
      <c r="W8" s="13" t="s">
        <v>53</v>
      </c>
      <c r="X8" s="13"/>
      <c r="Y8" s="19"/>
      <c r="Z8" s="20"/>
      <c r="AA8" s="21"/>
      <c r="AB8" s="3"/>
      <c r="AC8" s="318"/>
      <c r="AD8" s="318"/>
      <c r="AE8" s="318"/>
      <c r="AF8" s="3"/>
    </row>
    <row r="9" spans="2:32" ht="15.75" thickBot="1" x14ac:dyDescent="0.3">
      <c r="B9" s="324" t="s">
        <v>130</v>
      </c>
      <c r="C9" s="324"/>
      <c r="D9" s="324"/>
      <c r="E9" s="324"/>
      <c r="F9" s="324"/>
      <c r="G9" s="324"/>
      <c r="H9" s="324"/>
      <c r="I9" s="324"/>
      <c r="J9" s="324"/>
      <c r="K9" s="1"/>
      <c r="L9" s="1"/>
      <c r="M9" s="3"/>
      <c r="N9" s="335"/>
      <c r="O9" s="337"/>
      <c r="P9" s="60"/>
      <c r="Q9" s="339"/>
      <c r="R9" s="341"/>
      <c r="S9" s="65"/>
      <c r="T9" s="3"/>
      <c r="W9" s="3"/>
      <c r="X9" s="3"/>
      <c r="Y9" s="22"/>
      <c r="Z9" s="23"/>
      <c r="AA9" s="24"/>
      <c r="AB9" s="3"/>
      <c r="AC9" s="318"/>
      <c r="AD9" s="318"/>
      <c r="AE9" s="318"/>
      <c r="AF9" s="3"/>
    </row>
    <row r="10" spans="2:32" ht="15" customHeight="1" x14ac:dyDescent="0.25">
      <c r="B10" s="3"/>
      <c r="C10" s="3"/>
      <c r="D10" s="3"/>
      <c r="E10" s="3"/>
      <c r="F10" s="3"/>
      <c r="G10" s="3"/>
      <c r="H10" s="3"/>
      <c r="I10" s="3"/>
      <c r="J10" s="3"/>
      <c r="K10" s="1"/>
      <c r="L10" s="1"/>
      <c r="M10" s="3"/>
      <c r="N10" s="35" t="s">
        <v>223</v>
      </c>
      <c r="O10" s="63" t="s">
        <v>47</v>
      </c>
      <c r="P10" s="61"/>
      <c r="Q10" s="67" t="s">
        <v>80</v>
      </c>
      <c r="R10" s="68" t="s">
        <v>80</v>
      </c>
      <c r="S10" s="66"/>
      <c r="T10" s="3"/>
      <c r="W10" s="3"/>
      <c r="X10" s="3"/>
      <c r="Y10" s="3"/>
      <c r="Z10" s="3"/>
      <c r="AA10" s="3"/>
      <c r="AB10" s="3"/>
      <c r="AC10" s="318"/>
      <c r="AD10" s="318"/>
      <c r="AE10" s="318"/>
      <c r="AF10" s="3"/>
    </row>
    <row r="11" spans="2:32" ht="15.75" thickBot="1" x14ac:dyDescent="0.3">
      <c r="B11" s="3"/>
      <c r="C11" s="3"/>
      <c r="D11" s="3"/>
      <c r="E11" s="3"/>
      <c r="F11" s="3"/>
      <c r="G11" s="3"/>
      <c r="H11" s="3"/>
      <c r="I11" s="3"/>
      <c r="J11" s="3"/>
      <c r="K11" s="1"/>
      <c r="L11" s="1"/>
      <c r="M11" s="3"/>
      <c r="N11" s="36" t="s">
        <v>224</v>
      </c>
      <c r="O11" s="31" t="s">
        <v>66</v>
      </c>
      <c r="P11" s="61"/>
      <c r="Q11" s="69" t="s">
        <v>78</v>
      </c>
      <c r="R11" s="70" t="s">
        <v>78</v>
      </c>
      <c r="S11" s="66"/>
      <c r="T11" s="3"/>
      <c r="W11" s="3"/>
      <c r="X11" s="3"/>
      <c r="Z11" s="51"/>
      <c r="AA11" s="3"/>
      <c r="AB11" s="3"/>
      <c r="AC11" s="318"/>
      <c r="AD11" s="318"/>
      <c r="AE11" s="318"/>
      <c r="AF11" s="3"/>
    </row>
    <row r="12" spans="2:32" ht="15.75" thickBot="1" x14ac:dyDescent="0.3">
      <c r="B12" s="325" t="s">
        <v>1</v>
      </c>
      <c r="C12" s="326"/>
      <c r="D12" s="326"/>
      <c r="E12" s="326"/>
      <c r="F12" s="326"/>
      <c r="G12" s="326"/>
      <c r="H12" s="326"/>
      <c r="I12" s="326"/>
      <c r="J12" s="327"/>
      <c r="K12" s="1"/>
      <c r="L12" s="1"/>
      <c r="M12" s="5"/>
      <c r="N12" s="36" t="s">
        <v>225</v>
      </c>
      <c r="O12" s="62" t="s">
        <v>79</v>
      </c>
      <c r="P12" s="61"/>
      <c r="Q12" s="69" t="s">
        <v>81</v>
      </c>
      <c r="R12" s="70"/>
      <c r="S12" s="66"/>
      <c r="T12" s="3"/>
      <c r="W12" s="12"/>
      <c r="X12" s="3"/>
      <c r="Y12" s="13"/>
      <c r="Z12" s="13"/>
      <c r="AA12" s="13"/>
      <c r="AB12" s="13"/>
      <c r="AC12" s="318"/>
      <c r="AD12" s="318"/>
      <c r="AE12" s="318"/>
      <c r="AF12" s="3"/>
    </row>
    <row r="13" spans="2:32" ht="15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1"/>
      <c r="L13" s="1"/>
      <c r="M13" s="12"/>
      <c r="N13" s="36"/>
      <c r="O13" s="62"/>
      <c r="P13" s="61"/>
      <c r="Q13" s="69" t="s">
        <v>82</v>
      </c>
      <c r="R13" s="70"/>
      <c r="S13" s="66"/>
      <c r="T13" s="3"/>
      <c r="W13" s="12"/>
      <c r="X13" s="3"/>
      <c r="Y13" s="13"/>
      <c r="Z13" s="13"/>
      <c r="AA13" s="13"/>
      <c r="AB13" s="13"/>
      <c r="AC13" s="318"/>
      <c r="AD13" s="318"/>
      <c r="AE13" s="318"/>
      <c r="AF13" s="3"/>
    </row>
    <row r="14" spans="2:32" ht="15.75" thickBot="1" x14ac:dyDescent="0.3">
      <c r="B14" s="3"/>
      <c r="C14" s="3"/>
      <c r="D14" s="3"/>
      <c r="E14" s="3"/>
      <c r="F14" s="3"/>
      <c r="G14" s="3"/>
      <c r="H14" s="3"/>
      <c r="I14" s="3"/>
      <c r="J14" s="3"/>
      <c r="K14" s="1"/>
      <c r="L14" s="1"/>
      <c r="M14" s="3"/>
      <c r="N14" s="36"/>
      <c r="O14" s="31"/>
      <c r="P14" s="61"/>
      <c r="Q14" s="69" t="s">
        <v>83</v>
      </c>
      <c r="R14" s="70"/>
      <c r="S14" s="66"/>
      <c r="T14" s="3"/>
      <c r="W14" s="3"/>
      <c r="X14" s="3"/>
      <c r="Z14" s="51" t="s">
        <v>54</v>
      </c>
      <c r="AA14" s="3"/>
      <c r="AB14" s="3"/>
      <c r="AC14" s="3"/>
      <c r="AD14" s="3"/>
      <c r="AE14" s="3"/>
      <c r="AF14" s="3"/>
    </row>
    <row r="15" spans="2:32" ht="15.75" thickBot="1" x14ac:dyDescent="0.3">
      <c r="B15" s="5" t="s">
        <v>2</v>
      </c>
      <c r="C15" s="3"/>
      <c r="D15" s="3"/>
      <c r="E15" s="6" t="s">
        <v>11</v>
      </c>
      <c r="F15" s="3"/>
      <c r="G15" s="315"/>
      <c r="H15" s="316"/>
      <c r="I15" s="316"/>
      <c r="J15" s="317"/>
      <c r="K15" s="1"/>
      <c r="L15" s="1"/>
      <c r="M15" s="12"/>
      <c r="N15" s="36"/>
      <c r="O15" s="62"/>
      <c r="P15" s="61"/>
      <c r="Q15" s="69" t="s">
        <v>84</v>
      </c>
      <c r="R15" s="70"/>
      <c r="S15" s="66"/>
      <c r="T15" s="3"/>
      <c r="W15" s="12" t="s">
        <v>24</v>
      </c>
      <c r="X15" s="3"/>
      <c r="Y15" s="19"/>
      <c r="Z15" s="20"/>
      <c r="AA15" s="21"/>
      <c r="AB15" s="3"/>
      <c r="AC15" s="52"/>
      <c r="AD15" s="52"/>
      <c r="AE15" s="52"/>
      <c r="AF15" s="3"/>
    </row>
    <row r="16" spans="2:32" ht="15.75" thickBot="1" x14ac:dyDescent="0.3">
      <c r="B16" s="3"/>
      <c r="C16" s="3"/>
      <c r="D16" s="3"/>
      <c r="E16" s="6" t="s">
        <v>12</v>
      </c>
      <c r="F16" s="3"/>
      <c r="G16" s="330"/>
      <c r="H16" s="331"/>
      <c r="I16" s="331"/>
      <c r="J16" s="332"/>
      <c r="K16" s="1"/>
      <c r="L16" s="1"/>
      <c r="M16" s="12"/>
      <c r="N16" s="36"/>
      <c r="O16" s="38"/>
      <c r="P16" s="61"/>
      <c r="Q16" s="69" t="s">
        <v>103</v>
      </c>
      <c r="R16" s="70"/>
      <c r="S16" s="66"/>
      <c r="T16" s="3"/>
      <c r="W16" s="12"/>
      <c r="X16" s="3"/>
      <c r="Y16" s="22"/>
      <c r="Z16" s="23"/>
      <c r="AA16" s="24"/>
      <c r="AB16" s="3"/>
      <c r="AC16" s="3"/>
      <c r="AD16" s="3"/>
      <c r="AE16" s="3"/>
      <c r="AF16" s="3"/>
    </row>
    <row r="17" spans="2:32" ht="15.75" thickBot="1" x14ac:dyDescent="0.3">
      <c r="B17" s="3"/>
      <c r="C17" s="3"/>
      <c r="D17" s="3"/>
      <c r="E17" s="6" t="s">
        <v>23</v>
      </c>
      <c r="F17" s="7"/>
      <c r="G17" s="315"/>
      <c r="H17" s="316"/>
      <c r="I17" s="316"/>
      <c r="J17" s="317"/>
      <c r="K17" s="1"/>
      <c r="L17" s="1"/>
      <c r="M17" s="12"/>
      <c r="N17" s="36"/>
      <c r="O17" s="38"/>
      <c r="P17" s="61"/>
      <c r="Q17" s="69"/>
      <c r="R17" s="70"/>
      <c r="S17" s="66"/>
      <c r="T17" s="3"/>
      <c r="W17" s="12" t="s">
        <v>33</v>
      </c>
      <c r="X17" s="3"/>
      <c r="Y17" s="19"/>
      <c r="Z17" s="20"/>
      <c r="AA17" s="21"/>
      <c r="AB17" s="3"/>
      <c r="AC17" s="52"/>
      <c r="AD17" s="52"/>
      <c r="AE17" s="52"/>
      <c r="AF17" s="3"/>
    </row>
    <row r="18" spans="2:32" ht="15.75" thickBot="1" x14ac:dyDescent="0.3">
      <c r="B18" s="3"/>
      <c r="C18" s="3"/>
      <c r="D18" s="3"/>
      <c r="E18" s="6" t="s">
        <v>9</v>
      </c>
      <c r="F18" s="7"/>
      <c r="G18" s="315"/>
      <c r="H18" s="316"/>
      <c r="I18" s="316"/>
      <c r="J18" s="317"/>
      <c r="K18" s="1"/>
      <c r="L18" s="1"/>
      <c r="M18" s="12"/>
      <c r="N18" s="36"/>
      <c r="O18" s="62"/>
      <c r="P18" s="61"/>
      <c r="Q18" s="69"/>
      <c r="R18" s="70"/>
      <c r="S18" s="66"/>
      <c r="T18" s="3"/>
      <c r="W18" s="12"/>
      <c r="X18" s="3"/>
      <c r="Y18" s="22"/>
      <c r="Z18" s="23"/>
      <c r="AA18" s="24"/>
      <c r="AB18" s="3"/>
      <c r="AC18" s="3"/>
      <c r="AD18" s="3"/>
      <c r="AE18" s="3"/>
      <c r="AF18" s="3"/>
    </row>
    <row r="19" spans="2:32" ht="15.75" thickBot="1" x14ac:dyDescent="0.3">
      <c r="B19" s="3"/>
      <c r="C19" s="3"/>
      <c r="D19" s="3"/>
      <c r="E19" s="3"/>
      <c r="F19" s="3"/>
      <c r="G19" s="3"/>
      <c r="H19" s="3"/>
      <c r="I19" s="3"/>
      <c r="J19" s="3"/>
      <c r="K19" s="1"/>
      <c r="L19" s="1"/>
      <c r="M19" s="12"/>
      <c r="N19" s="36"/>
      <c r="O19" s="38"/>
      <c r="P19" s="61"/>
      <c r="Q19" s="69"/>
      <c r="R19" s="70"/>
      <c r="S19" s="66"/>
      <c r="T19" s="3"/>
      <c r="W19" s="12" t="s">
        <v>39</v>
      </c>
      <c r="X19" s="3"/>
      <c r="Y19" s="19"/>
      <c r="Z19" s="20"/>
      <c r="AA19" s="21"/>
      <c r="AB19" s="3"/>
      <c r="AC19" s="52"/>
      <c r="AD19" s="52"/>
      <c r="AE19" s="52"/>
      <c r="AF19" s="3"/>
    </row>
    <row r="20" spans="2:32" ht="15.75" thickBot="1" x14ac:dyDescent="0.3">
      <c r="B20" s="5" t="s">
        <v>3</v>
      </c>
      <c r="C20" s="3"/>
      <c r="D20" s="3"/>
      <c r="E20" s="3"/>
      <c r="F20" s="3"/>
      <c r="G20" s="3"/>
      <c r="H20" s="3"/>
      <c r="I20" s="3"/>
      <c r="J20" s="3"/>
      <c r="K20" s="1"/>
      <c r="L20" s="1"/>
      <c r="M20" s="3"/>
      <c r="N20" s="36"/>
      <c r="O20" s="38"/>
      <c r="P20" s="61"/>
      <c r="Q20" s="69"/>
      <c r="R20" s="70"/>
      <c r="S20" s="66"/>
      <c r="T20" s="3"/>
      <c r="W20" s="3"/>
      <c r="X20" s="3"/>
      <c r="Y20" s="22"/>
      <c r="Z20" s="23"/>
      <c r="AA20" s="24"/>
      <c r="AB20" s="3"/>
      <c r="AC20" s="3"/>
      <c r="AD20" s="3"/>
      <c r="AE20" s="3"/>
      <c r="AF20" s="3"/>
    </row>
    <row r="21" spans="2:32" ht="15.75" thickBot="1" x14ac:dyDescent="0.3">
      <c r="B21" s="3"/>
      <c r="C21" s="3"/>
      <c r="D21" s="3"/>
      <c r="E21" s="3"/>
      <c r="F21" s="3"/>
      <c r="G21" s="3"/>
      <c r="H21" s="3"/>
      <c r="I21" s="3"/>
      <c r="J21" s="3"/>
      <c r="K21" s="1"/>
      <c r="L21" s="1"/>
      <c r="M21" s="3"/>
      <c r="N21" s="36"/>
      <c r="O21" s="62"/>
      <c r="P21" s="61"/>
      <c r="Q21" s="69"/>
      <c r="R21" s="70"/>
      <c r="S21" s="66"/>
      <c r="T21" s="3"/>
      <c r="W21" s="12" t="s">
        <v>56</v>
      </c>
      <c r="X21" s="3"/>
      <c r="Y21" s="19"/>
      <c r="Z21" s="20"/>
      <c r="AA21" s="21"/>
      <c r="AB21" s="3"/>
      <c r="AC21" s="52"/>
      <c r="AD21" s="52"/>
      <c r="AE21" s="52"/>
      <c r="AF21" s="3"/>
    </row>
    <row r="22" spans="2:32" ht="15.75" thickBot="1" x14ac:dyDescent="0.3">
      <c r="B22" s="319" t="s">
        <v>4</v>
      </c>
      <c r="C22" s="320"/>
      <c r="D22" s="41" t="s">
        <v>5</v>
      </c>
      <c r="E22" s="50" t="s">
        <v>19</v>
      </c>
      <c r="F22" s="50" t="s">
        <v>63</v>
      </c>
      <c r="G22" s="33" t="s">
        <v>60</v>
      </c>
      <c r="H22" s="41" t="s">
        <v>6</v>
      </c>
      <c r="I22" s="333" t="s">
        <v>7</v>
      </c>
      <c r="J22" s="320"/>
      <c r="K22" s="1"/>
      <c r="L22" s="1"/>
      <c r="M22" s="3"/>
      <c r="N22" s="36"/>
      <c r="O22" s="62"/>
      <c r="P22" s="61"/>
      <c r="Q22" s="69"/>
      <c r="R22" s="70"/>
      <c r="S22" s="66"/>
      <c r="T22" s="3"/>
      <c r="W22" s="3"/>
      <c r="X22" s="3"/>
      <c r="Y22" s="22"/>
      <c r="Z22" s="23"/>
      <c r="AA22" s="24"/>
      <c r="AB22" s="3"/>
      <c r="AC22" s="3"/>
      <c r="AD22" s="3"/>
      <c r="AE22" s="3"/>
      <c r="AF22" s="3"/>
    </row>
    <row r="23" spans="2:32" x14ac:dyDescent="0.25">
      <c r="B23" s="328" t="s">
        <v>13</v>
      </c>
      <c r="C23" s="329"/>
      <c r="D23" s="46">
        <f ca="1">INDIRECT("'"&amp;$B23&amp;"'!"&amp;"F69")</f>
        <v>0</v>
      </c>
      <c r="E23" s="47">
        <f ca="1">INDIRECT("'"&amp;$B23&amp;"'!"&amp;"G69")+INDIRECT("'"&amp;$B23&amp;"'!"&amp;"J69")</f>
        <v>0</v>
      </c>
      <c r="F23" s="47">
        <f ca="1">INDIRECT("'"&amp;$B23&amp;"'!"&amp;"H69")</f>
        <v>0</v>
      </c>
      <c r="G23" s="34">
        <f ca="1">INDIRECT("'"&amp;$B23&amp;"'!"&amp;"I69")</f>
        <v>0</v>
      </c>
      <c r="H23" s="48" t="str">
        <f ca="1">INDIRECT("'"&amp;$B23&amp;"'!"&amp;"K69")</f>
        <v/>
      </c>
      <c r="I23" s="98">
        <f ca="1">INDIRECT("'"&amp;$B23&amp;"'!"&amp;"M69")</f>
        <v>4</v>
      </c>
      <c r="J23" s="34">
        <f ca="1">INDIRECT("'"&amp;$B23&amp;"'!"&amp;"O69")</f>
        <v>4</v>
      </c>
      <c r="K23" s="1"/>
      <c r="L23" s="1"/>
      <c r="M23" s="12"/>
      <c r="N23" s="36"/>
      <c r="O23" s="38"/>
      <c r="P23" s="61"/>
      <c r="Q23" s="69"/>
      <c r="R23" s="70"/>
      <c r="S23" s="66"/>
      <c r="T23" s="3"/>
      <c r="W23" s="3"/>
      <c r="X23" s="3"/>
      <c r="Y23" s="26"/>
      <c r="Z23" s="26"/>
      <c r="AA23" s="26"/>
      <c r="AB23" s="26"/>
      <c r="AC23" s="26"/>
      <c r="AD23" s="26"/>
      <c r="AE23" s="26"/>
      <c r="AF23" s="3"/>
    </row>
    <row r="24" spans="2:32" x14ac:dyDescent="0.25">
      <c r="B24" s="309" t="s">
        <v>14</v>
      </c>
      <c r="C24" s="310"/>
      <c r="D24" s="46">
        <f ca="1">INDIRECT("'"&amp;$B24&amp;"'!"&amp;"F69")</f>
        <v>0</v>
      </c>
      <c r="E24" s="47">
        <f ca="1">INDIRECT("'"&amp;$B24&amp;"'!"&amp;"G69")+INDIRECT("'"&amp;$B24&amp;"'!"&amp;"J69")</f>
        <v>0</v>
      </c>
      <c r="F24" s="47">
        <f ca="1">INDIRECT("'"&amp;$B24&amp;"'!"&amp;"H69")</f>
        <v>0</v>
      </c>
      <c r="G24" s="34">
        <f ca="1">INDIRECT("'"&amp;$B24&amp;"'!"&amp;"I69")</f>
        <v>0</v>
      </c>
      <c r="H24" s="48" t="str">
        <f ca="1">INDIRECT("'"&amp;$B24&amp;"'!"&amp;"K69")</f>
        <v/>
      </c>
      <c r="I24" s="98">
        <f ca="1">INDIRECT("'"&amp;$B24&amp;"'!"&amp;"M69")</f>
        <v>4</v>
      </c>
      <c r="J24" s="34">
        <f ca="1">INDIRECT("'"&amp;$B24&amp;"'!"&amp;"O69")</f>
        <v>4</v>
      </c>
      <c r="K24" s="1"/>
      <c r="L24" s="1"/>
      <c r="M24" s="3"/>
      <c r="N24" s="36"/>
      <c r="O24" s="38"/>
      <c r="P24" s="61"/>
      <c r="Q24" s="69"/>
      <c r="R24" s="70"/>
      <c r="S24" s="66"/>
      <c r="T24" s="3"/>
      <c r="W24" s="3"/>
      <c r="X24" s="3"/>
      <c r="Y24" s="26"/>
      <c r="Z24" s="26"/>
      <c r="AA24" s="26"/>
      <c r="AB24" s="26"/>
      <c r="AC24" s="26"/>
      <c r="AD24" s="26"/>
      <c r="AE24" s="26"/>
      <c r="AF24" s="3"/>
    </row>
    <row r="25" spans="2:32" x14ac:dyDescent="0.25">
      <c r="B25" s="309" t="s">
        <v>15</v>
      </c>
      <c r="C25" s="310"/>
      <c r="D25" s="46">
        <f t="shared" ref="D25:D34" ca="1" si="0">INDIRECT("'"&amp;$B25&amp;"'!"&amp;"F69")</f>
        <v>0</v>
      </c>
      <c r="E25" s="47">
        <f t="shared" ref="E25:E34" ca="1" si="1">INDIRECT("'"&amp;$B25&amp;"'!"&amp;"G69")+INDIRECT("'"&amp;$B25&amp;"'!"&amp;"J69")</f>
        <v>0</v>
      </c>
      <c r="F25" s="47">
        <f t="shared" ref="F25:F34" ca="1" si="2">INDIRECT("'"&amp;$B25&amp;"'!"&amp;"H69")</f>
        <v>0</v>
      </c>
      <c r="G25" s="34">
        <f t="shared" ref="G25:G34" ca="1" si="3">INDIRECT("'"&amp;$B25&amp;"'!"&amp;"I69")</f>
        <v>0</v>
      </c>
      <c r="H25" s="48" t="str">
        <f t="shared" ref="H25:H34" ca="1" si="4">INDIRECT("'"&amp;$B25&amp;"'!"&amp;"K69")</f>
        <v/>
      </c>
      <c r="I25" s="98">
        <f t="shared" ref="I25:I34" ca="1" si="5">INDIRECT("'"&amp;$B25&amp;"'!"&amp;"M69")</f>
        <v>4</v>
      </c>
      <c r="J25" s="34">
        <f t="shared" ref="J25:J34" ca="1" si="6">INDIRECT("'"&amp;$B25&amp;"'!"&amp;"O69")</f>
        <v>4</v>
      </c>
      <c r="K25" s="1"/>
      <c r="L25" s="1"/>
      <c r="M25" s="3"/>
      <c r="N25" s="36"/>
      <c r="O25" s="38"/>
      <c r="P25" s="61"/>
      <c r="Q25" s="69"/>
      <c r="R25" s="70"/>
      <c r="S25" s="66"/>
      <c r="T25" s="3"/>
      <c r="W25" s="3"/>
      <c r="X25" s="3"/>
      <c r="Y25" s="23"/>
      <c r="Z25" s="23"/>
      <c r="AA25" s="23"/>
      <c r="AB25" s="23"/>
      <c r="AC25" s="23"/>
      <c r="AD25" s="23"/>
      <c r="AE25" s="23"/>
      <c r="AF25" s="3"/>
    </row>
    <row r="26" spans="2:32" x14ac:dyDescent="0.25">
      <c r="B26" s="309" t="s">
        <v>16</v>
      </c>
      <c r="C26" s="310"/>
      <c r="D26" s="46">
        <f t="shared" ca="1" si="0"/>
        <v>0</v>
      </c>
      <c r="E26" s="47">
        <f t="shared" ca="1" si="1"/>
        <v>0</v>
      </c>
      <c r="F26" s="47">
        <f t="shared" ca="1" si="2"/>
        <v>0</v>
      </c>
      <c r="G26" s="34">
        <f t="shared" ca="1" si="3"/>
        <v>0</v>
      </c>
      <c r="H26" s="48" t="str">
        <f t="shared" ca="1" si="4"/>
        <v/>
      </c>
      <c r="I26" s="98">
        <f t="shared" ca="1" si="5"/>
        <v>4</v>
      </c>
      <c r="J26" s="34">
        <f t="shared" ca="1" si="6"/>
        <v>4</v>
      </c>
      <c r="K26" s="1"/>
      <c r="L26" s="1"/>
      <c r="M26" s="3"/>
      <c r="N26" s="36"/>
      <c r="O26" s="38"/>
      <c r="P26" s="61"/>
      <c r="Q26" s="69"/>
      <c r="R26" s="70"/>
      <c r="S26" s="66"/>
      <c r="T26" s="3"/>
      <c r="W26" s="12" t="s">
        <v>55</v>
      </c>
      <c r="X26" s="3"/>
      <c r="Y26" s="25"/>
      <c r="Z26" s="26"/>
      <c r="AA26" s="26"/>
      <c r="AB26" s="26"/>
      <c r="AC26" s="26"/>
      <c r="AD26" s="26"/>
      <c r="AE26" s="27"/>
      <c r="AF26" s="3"/>
    </row>
    <row r="27" spans="2:32" ht="15.75" thickBot="1" x14ac:dyDescent="0.3">
      <c r="B27" s="309" t="s">
        <v>17</v>
      </c>
      <c r="C27" s="310"/>
      <c r="D27" s="46">
        <f t="shared" ca="1" si="0"/>
        <v>0</v>
      </c>
      <c r="E27" s="47">
        <f t="shared" ca="1" si="1"/>
        <v>0</v>
      </c>
      <c r="F27" s="47">
        <f t="shared" ca="1" si="2"/>
        <v>0</v>
      </c>
      <c r="G27" s="34">
        <f t="shared" ca="1" si="3"/>
        <v>0</v>
      </c>
      <c r="H27" s="48" t="str">
        <f t="shared" ca="1" si="4"/>
        <v/>
      </c>
      <c r="I27" s="98">
        <f t="shared" ca="1" si="5"/>
        <v>4</v>
      </c>
      <c r="J27" s="34">
        <f t="shared" ca="1" si="6"/>
        <v>4</v>
      </c>
      <c r="K27" s="1"/>
      <c r="L27" s="1"/>
      <c r="M27" s="3"/>
      <c r="N27" s="37"/>
      <c r="O27" s="39"/>
      <c r="P27" s="61"/>
      <c r="Q27" s="71"/>
      <c r="R27" s="72"/>
      <c r="S27" s="66"/>
      <c r="T27" s="3"/>
      <c r="W27" s="3"/>
      <c r="X27" s="3"/>
      <c r="Y27" s="25"/>
      <c r="Z27" s="26"/>
      <c r="AA27" s="26"/>
      <c r="AB27" s="26"/>
      <c r="AC27" s="26"/>
      <c r="AD27" s="26"/>
      <c r="AE27" s="27"/>
      <c r="AF27" s="3"/>
    </row>
    <row r="28" spans="2:32" x14ac:dyDescent="0.25">
      <c r="B28" s="309" t="s">
        <v>105</v>
      </c>
      <c r="C28" s="310"/>
      <c r="D28" s="46">
        <f t="shared" ca="1" si="0"/>
        <v>0</v>
      </c>
      <c r="E28" s="47">
        <f t="shared" ca="1" si="1"/>
        <v>0</v>
      </c>
      <c r="F28" s="47">
        <f t="shared" ca="1" si="2"/>
        <v>20</v>
      </c>
      <c r="G28" s="34">
        <f t="shared" ca="1" si="3"/>
        <v>0</v>
      </c>
      <c r="H28" s="48">
        <f t="shared" ca="1" si="4"/>
        <v>0</v>
      </c>
      <c r="I28" s="98">
        <f t="shared" ca="1" si="5"/>
        <v>1</v>
      </c>
      <c r="J28" s="34">
        <f t="shared" ca="1" si="6"/>
        <v>4</v>
      </c>
      <c r="K28" s="1"/>
      <c r="L28" s="1"/>
      <c r="M28" s="3"/>
      <c r="N28" s="3"/>
      <c r="O28" s="26"/>
      <c r="P28" s="26"/>
      <c r="Q28" s="26"/>
      <c r="R28" s="26"/>
      <c r="S28" s="26"/>
      <c r="T28" s="3"/>
      <c r="W28" s="3"/>
      <c r="X28" s="3"/>
      <c r="Y28" s="25"/>
      <c r="Z28" s="26"/>
      <c r="AA28" s="26"/>
      <c r="AB28" s="26"/>
      <c r="AC28" s="26"/>
      <c r="AD28" s="26"/>
      <c r="AE28" s="27"/>
      <c r="AF28" s="3"/>
    </row>
    <row r="29" spans="2:32" x14ac:dyDescent="0.25">
      <c r="B29" s="309" t="s">
        <v>104</v>
      </c>
      <c r="C29" s="310"/>
      <c r="D29" s="46">
        <f t="shared" ca="1" si="0"/>
        <v>0</v>
      </c>
      <c r="E29" s="47">
        <f t="shared" ca="1" si="1"/>
        <v>0</v>
      </c>
      <c r="F29" s="47">
        <f t="shared" ca="1" si="2"/>
        <v>0</v>
      </c>
      <c r="G29" s="34">
        <f t="shared" ca="1" si="3"/>
        <v>0</v>
      </c>
      <c r="H29" s="48" t="str">
        <f t="shared" ca="1" si="4"/>
        <v/>
      </c>
      <c r="I29" s="98">
        <f t="shared" ca="1" si="5"/>
        <v>4</v>
      </c>
      <c r="J29" s="34">
        <f t="shared" ca="1" si="6"/>
        <v>4</v>
      </c>
      <c r="K29" s="1"/>
      <c r="L29" s="1"/>
      <c r="M29" s="3"/>
      <c r="N29" s="3"/>
      <c r="O29" s="26"/>
      <c r="P29" s="26"/>
      <c r="Q29" s="26"/>
      <c r="R29" s="26"/>
      <c r="S29" s="26"/>
      <c r="T29" s="3"/>
      <c r="W29" s="3"/>
      <c r="X29" s="3"/>
      <c r="Y29" s="25"/>
      <c r="Z29" s="26"/>
      <c r="AA29" s="26"/>
      <c r="AB29" s="26"/>
      <c r="AC29" s="26"/>
      <c r="AD29" s="26"/>
      <c r="AE29" s="27"/>
      <c r="AF29" s="3"/>
    </row>
    <row r="30" spans="2:32" x14ac:dyDescent="0.25">
      <c r="B30" s="309" t="s">
        <v>107</v>
      </c>
      <c r="C30" s="310"/>
      <c r="D30" s="46">
        <f t="shared" ca="1" si="0"/>
        <v>0</v>
      </c>
      <c r="E30" s="47">
        <f t="shared" ca="1" si="1"/>
        <v>0</v>
      </c>
      <c r="F30" s="47">
        <f t="shared" ca="1" si="2"/>
        <v>0</v>
      </c>
      <c r="G30" s="34">
        <f t="shared" ca="1" si="3"/>
        <v>0</v>
      </c>
      <c r="H30" s="48" t="str">
        <f t="shared" ca="1" si="4"/>
        <v/>
      </c>
      <c r="I30" s="98">
        <f t="shared" ca="1" si="5"/>
        <v>4</v>
      </c>
      <c r="J30" s="34">
        <f t="shared" ca="1" si="6"/>
        <v>4</v>
      </c>
      <c r="K30" s="1"/>
      <c r="L30" s="1"/>
      <c r="M30" s="3"/>
      <c r="N30" s="3"/>
      <c r="O30" s="26"/>
      <c r="P30" s="26"/>
      <c r="Q30" s="26"/>
      <c r="R30" s="26"/>
      <c r="S30" s="26"/>
      <c r="T30" s="3"/>
      <c r="W30" s="3"/>
      <c r="X30" s="3"/>
      <c r="Y30" s="25"/>
      <c r="Z30" s="26"/>
      <c r="AA30" s="26"/>
      <c r="AB30" s="26"/>
      <c r="AC30" s="26"/>
      <c r="AD30" s="26"/>
      <c r="AE30" s="27"/>
      <c r="AF30" s="3"/>
    </row>
    <row r="31" spans="2:32" x14ac:dyDescent="0.25">
      <c r="B31" s="309" t="s">
        <v>151</v>
      </c>
      <c r="C31" s="310"/>
      <c r="D31" s="46">
        <f t="shared" ca="1" si="0"/>
        <v>0</v>
      </c>
      <c r="E31" s="47">
        <f t="shared" ca="1" si="1"/>
        <v>0</v>
      </c>
      <c r="F31" s="47">
        <f t="shared" ca="1" si="2"/>
        <v>0</v>
      </c>
      <c r="G31" s="34">
        <f t="shared" ca="1" si="3"/>
        <v>0</v>
      </c>
      <c r="H31" s="48" t="str">
        <f t="shared" ca="1" si="4"/>
        <v/>
      </c>
      <c r="I31" s="98">
        <f t="shared" ca="1" si="5"/>
        <v>4</v>
      </c>
      <c r="J31" s="34">
        <f t="shared" ca="1" si="6"/>
        <v>4</v>
      </c>
      <c r="K31" s="1"/>
      <c r="L31" s="1"/>
      <c r="M31" s="5" t="s">
        <v>48</v>
      </c>
      <c r="N31" s="3"/>
      <c r="O31" s="26"/>
      <c r="P31" s="26"/>
      <c r="Q31" s="26"/>
      <c r="R31" s="26"/>
      <c r="S31" s="26"/>
      <c r="T31" s="3"/>
      <c r="W31" s="3"/>
      <c r="X31" s="3"/>
      <c r="Y31" s="25"/>
      <c r="Z31" s="26"/>
      <c r="AA31" s="26"/>
      <c r="AB31" s="26"/>
      <c r="AC31" s="26"/>
      <c r="AD31" s="26"/>
      <c r="AE31" s="27"/>
      <c r="AF31" s="3"/>
    </row>
    <row r="32" spans="2:32" x14ac:dyDescent="0.25">
      <c r="B32" s="309" t="s">
        <v>101</v>
      </c>
      <c r="C32" s="310"/>
      <c r="D32" s="46">
        <f t="shared" ca="1" si="0"/>
        <v>0</v>
      </c>
      <c r="E32" s="47">
        <f t="shared" ca="1" si="1"/>
        <v>0</v>
      </c>
      <c r="F32" s="47">
        <f t="shared" ca="1" si="2"/>
        <v>0</v>
      </c>
      <c r="G32" s="34">
        <f t="shared" ca="1" si="3"/>
        <v>0</v>
      </c>
      <c r="H32" s="48" t="str">
        <f t="shared" ca="1" si="4"/>
        <v/>
      </c>
      <c r="I32" s="98">
        <f t="shared" ca="1" si="5"/>
        <v>4</v>
      </c>
      <c r="J32" s="34">
        <f t="shared" ca="1" si="6"/>
        <v>4</v>
      </c>
      <c r="K32" s="1"/>
      <c r="L32" s="1"/>
      <c r="M32" s="3"/>
      <c r="N32" s="3"/>
      <c r="O32" s="26"/>
      <c r="P32" s="26"/>
      <c r="Q32" s="26"/>
      <c r="R32" s="26"/>
      <c r="S32" s="26"/>
      <c r="T32" s="3"/>
      <c r="W32" s="3"/>
      <c r="X32" s="3"/>
      <c r="Y32" s="25"/>
      <c r="Z32" s="26"/>
      <c r="AA32" s="26"/>
      <c r="AB32" s="26"/>
      <c r="AC32" s="26"/>
      <c r="AD32" s="26"/>
      <c r="AE32" s="27"/>
      <c r="AF32" s="3"/>
    </row>
    <row r="33" spans="2:32" x14ac:dyDescent="0.25">
      <c r="B33" s="309" t="s">
        <v>18</v>
      </c>
      <c r="C33" s="310"/>
      <c r="D33" s="46">
        <f t="shared" ca="1" si="0"/>
        <v>0</v>
      </c>
      <c r="E33" s="47">
        <f t="shared" ca="1" si="1"/>
        <v>0</v>
      </c>
      <c r="F33" s="47">
        <f t="shared" ca="1" si="2"/>
        <v>0</v>
      </c>
      <c r="G33" s="34">
        <f t="shared" ca="1" si="3"/>
        <v>0</v>
      </c>
      <c r="H33" s="48" t="str">
        <f t="shared" ca="1" si="4"/>
        <v/>
      </c>
      <c r="I33" s="98">
        <f t="shared" ca="1" si="5"/>
        <v>4</v>
      </c>
      <c r="J33" s="34">
        <f t="shared" ca="1" si="6"/>
        <v>4</v>
      </c>
      <c r="K33" s="1"/>
      <c r="L33" s="1"/>
      <c r="M33" s="3"/>
      <c r="N33" s="19"/>
      <c r="O33" s="20"/>
      <c r="P33" s="20"/>
      <c r="Q33" s="20"/>
      <c r="R33" s="20"/>
      <c r="S33" s="21"/>
      <c r="T33" s="3"/>
      <c r="W33" s="3"/>
      <c r="X33" s="3"/>
      <c r="Y33" s="25"/>
      <c r="Z33" s="26"/>
      <c r="AA33" s="26"/>
      <c r="AB33" s="26"/>
      <c r="AC33" s="26"/>
      <c r="AD33" s="26"/>
      <c r="AE33" s="27"/>
      <c r="AF33" s="3"/>
    </row>
    <row r="34" spans="2:32" x14ac:dyDescent="0.25">
      <c r="B34" s="309" t="s">
        <v>176</v>
      </c>
      <c r="C34" s="310"/>
      <c r="D34" s="46">
        <f t="shared" ca="1" si="0"/>
        <v>0</v>
      </c>
      <c r="E34" s="47">
        <f t="shared" ca="1" si="1"/>
        <v>0</v>
      </c>
      <c r="F34" s="47">
        <f t="shared" ca="1" si="2"/>
        <v>0</v>
      </c>
      <c r="G34" s="34">
        <f t="shared" ca="1" si="3"/>
        <v>0</v>
      </c>
      <c r="H34" s="48" t="str">
        <f t="shared" ca="1" si="4"/>
        <v/>
      </c>
      <c r="I34" s="98">
        <f t="shared" ca="1" si="5"/>
        <v>4</v>
      </c>
      <c r="J34" s="34">
        <f t="shared" ca="1" si="6"/>
        <v>4</v>
      </c>
      <c r="K34" s="1"/>
      <c r="L34" s="1"/>
      <c r="M34" s="3"/>
      <c r="N34" s="25"/>
      <c r="O34" s="26"/>
      <c r="P34" s="26"/>
      <c r="Q34" s="26"/>
      <c r="R34" s="26"/>
      <c r="S34" s="27"/>
      <c r="T34" s="3"/>
      <c r="W34" s="3"/>
      <c r="X34" s="3"/>
      <c r="Y34" s="25"/>
      <c r="Z34" s="26"/>
      <c r="AA34" s="26"/>
      <c r="AB34" s="26"/>
      <c r="AC34" s="26"/>
      <c r="AD34" s="26"/>
      <c r="AE34" s="27"/>
      <c r="AF34" s="3"/>
    </row>
    <row r="35" spans="2:32" x14ac:dyDescent="0.25">
      <c r="B35" s="311"/>
      <c r="C35" s="312"/>
      <c r="D35" s="46"/>
      <c r="E35" s="47"/>
      <c r="F35" s="47"/>
      <c r="G35" s="34"/>
      <c r="H35" s="48"/>
      <c r="I35" s="98"/>
      <c r="J35" s="34"/>
      <c r="K35" s="1"/>
      <c r="L35" s="1"/>
      <c r="M35" s="3"/>
      <c r="N35" s="25"/>
      <c r="O35" s="26"/>
      <c r="P35" s="26"/>
      <c r="Q35" s="26"/>
      <c r="R35" s="26"/>
      <c r="S35" s="27"/>
      <c r="T35" s="3"/>
      <c r="W35" s="3"/>
      <c r="X35" s="3"/>
      <c r="Y35" s="25"/>
      <c r="Z35" s="26"/>
      <c r="AA35" s="26"/>
      <c r="AB35" s="26"/>
      <c r="AC35" s="26"/>
      <c r="AD35" s="26"/>
      <c r="AE35" s="27"/>
      <c r="AF35" s="3"/>
    </row>
    <row r="36" spans="2:32" ht="15.75" thickBot="1" x14ac:dyDescent="0.3">
      <c r="B36" s="313"/>
      <c r="C36" s="314"/>
      <c r="D36" s="46"/>
      <c r="E36" s="47"/>
      <c r="F36" s="47"/>
      <c r="G36" s="34"/>
      <c r="H36" s="48"/>
      <c r="I36" s="98"/>
      <c r="J36" s="34"/>
      <c r="K36" s="1"/>
      <c r="L36" s="1"/>
      <c r="M36" s="3"/>
      <c r="N36" s="25"/>
      <c r="O36" s="26"/>
      <c r="P36" s="26"/>
      <c r="Q36" s="26"/>
      <c r="R36" s="26"/>
      <c r="S36" s="27"/>
      <c r="T36" s="3"/>
      <c r="W36" s="3"/>
      <c r="X36" s="3"/>
      <c r="Y36" s="25"/>
      <c r="Z36" s="26"/>
      <c r="AA36" s="26"/>
      <c r="AB36" s="26"/>
      <c r="AC36" s="26"/>
      <c r="AD36" s="26"/>
      <c r="AE36" s="27"/>
      <c r="AF36" s="3"/>
    </row>
    <row r="37" spans="2:32" ht="15.75" thickBot="1" x14ac:dyDescent="0.3">
      <c r="B37" s="319" t="s">
        <v>8</v>
      </c>
      <c r="C37" s="320"/>
      <c r="D37" s="40">
        <f ca="1">SUM(D23:D36)</f>
        <v>0</v>
      </c>
      <c r="E37" s="50">
        <f ca="1">SUM(E23:E36)</f>
        <v>0</v>
      </c>
      <c r="F37" s="50">
        <f t="shared" ref="F37:G37" ca="1" si="7">SUM(F23:F36)</f>
        <v>20</v>
      </c>
      <c r="G37" s="33">
        <f t="shared" ca="1" si="7"/>
        <v>0</v>
      </c>
      <c r="H37" s="49">
        <f ca="1">IF(COUNT(H23:H36)&gt;0, AVERAGE(H23:H36), "")</f>
        <v>0</v>
      </c>
      <c r="I37" s="100"/>
      <c r="J37" s="33"/>
      <c r="K37" s="1"/>
      <c r="L37" s="1"/>
      <c r="M37" s="3"/>
      <c r="N37" s="25"/>
      <c r="O37" s="26"/>
      <c r="P37" s="26"/>
      <c r="Q37" s="26"/>
      <c r="R37" s="26"/>
      <c r="S37" s="27"/>
      <c r="T37" s="3"/>
      <c r="W37" s="3"/>
      <c r="X37" s="3"/>
      <c r="Y37" s="25"/>
      <c r="Z37" s="26"/>
      <c r="AA37" s="26"/>
      <c r="AB37" s="26"/>
      <c r="AC37" s="26"/>
      <c r="AD37" s="26"/>
      <c r="AE37" s="27"/>
      <c r="AF37" s="3"/>
    </row>
    <row r="38" spans="2:32" x14ac:dyDescent="0.25">
      <c r="B38" s="3"/>
      <c r="C38" s="3"/>
      <c r="D38" s="3"/>
      <c r="E38" s="3"/>
      <c r="F38" s="3"/>
      <c r="G38" s="3"/>
      <c r="H38" s="3"/>
      <c r="I38" s="3"/>
      <c r="J38" s="3"/>
      <c r="K38" s="1"/>
      <c r="L38" s="1"/>
      <c r="M38" s="3"/>
      <c r="N38" s="25"/>
      <c r="O38" s="26"/>
      <c r="P38" s="26"/>
      <c r="Q38" s="26"/>
      <c r="R38" s="26"/>
      <c r="S38" s="27"/>
      <c r="T38" s="3"/>
      <c r="W38" s="3"/>
      <c r="X38" s="3"/>
      <c r="Y38" s="25"/>
      <c r="Z38" s="26"/>
      <c r="AA38" s="26"/>
      <c r="AB38" s="26"/>
      <c r="AC38" s="26"/>
      <c r="AD38" s="26"/>
      <c r="AE38" s="27"/>
      <c r="AF38" s="3"/>
    </row>
    <row r="39" spans="2:32" x14ac:dyDescent="0.25">
      <c r="B39" s="12"/>
      <c r="C39" s="3"/>
      <c r="D39" s="3"/>
      <c r="E39" s="3"/>
      <c r="F39" s="3"/>
      <c r="G39" s="3"/>
      <c r="H39" s="3"/>
      <c r="I39" s="3"/>
      <c r="J39" s="3"/>
      <c r="K39" s="1"/>
      <c r="L39" s="1"/>
      <c r="M39" s="3"/>
      <c r="N39" s="25"/>
      <c r="O39" s="26"/>
      <c r="P39" s="26"/>
      <c r="Q39" s="26"/>
      <c r="R39" s="26"/>
      <c r="S39" s="27"/>
      <c r="T39" s="3"/>
      <c r="W39" s="3"/>
      <c r="X39" s="3"/>
      <c r="Y39" s="22"/>
      <c r="Z39" s="23"/>
      <c r="AA39" s="23"/>
      <c r="AB39" s="23"/>
      <c r="AC39" s="23"/>
      <c r="AD39" s="23"/>
      <c r="AE39" s="24"/>
      <c r="AF39" s="3"/>
    </row>
    <row r="40" spans="2:32" x14ac:dyDescent="0.25">
      <c r="B40" s="1"/>
      <c r="C40" s="3"/>
      <c r="D40" s="3"/>
      <c r="E40" s="3"/>
      <c r="F40" s="3"/>
      <c r="G40" s="3"/>
      <c r="H40" s="3"/>
      <c r="I40" s="3"/>
      <c r="J40" s="3"/>
      <c r="K40" s="1"/>
      <c r="L40" s="1"/>
      <c r="M40" s="3"/>
      <c r="N40" s="25"/>
      <c r="O40" s="26"/>
      <c r="P40" s="26"/>
      <c r="Q40" s="26"/>
      <c r="R40" s="26"/>
      <c r="S40" s="27"/>
      <c r="T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2:32" x14ac:dyDescent="0.25">
      <c r="B41" s="3"/>
      <c r="C41" s="3"/>
      <c r="D41" s="3"/>
      <c r="E41" s="3"/>
      <c r="F41" s="3"/>
      <c r="G41" s="3"/>
      <c r="H41" s="3"/>
      <c r="I41" s="3"/>
      <c r="J41" s="3"/>
      <c r="K41" s="1"/>
      <c r="L41" s="1"/>
      <c r="M41" s="3"/>
      <c r="N41" s="25"/>
      <c r="O41" s="26"/>
      <c r="P41" s="26"/>
      <c r="Q41" s="26"/>
      <c r="R41" s="26"/>
      <c r="S41" s="27"/>
      <c r="T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2:32" x14ac:dyDescent="0.25">
      <c r="B42" s="3"/>
      <c r="C42" s="3"/>
      <c r="D42" s="3"/>
      <c r="E42" s="3"/>
      <c r="F42" s="3"/>
      <c r="G42" s="3"/>
      <c r="H42" s="3"/>
      <c r="I42" s="3"/>
      <c r="J42" s="3"/>
      <c r="K42" s="1"/>
      <c r="L42" s="1"/>
      <c r="M42" s="3"/>
      <c r="N42" s="25"/>
      <c r="O42" s="26"/>
      <c r="P42" s="26"/>
      <c r="Q42" s="26"/>
      <c r="R42" s="26"/>
      <c r="S42" s="27"/>
      <c r="T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2:32" x14ac:dyDescent="0.25">
      <c r="B43" s="3"/>
      <c r="C43" s="3"/>
      <c r="D43" s="3"/>
      <c r="E43" s="3"/>
      <c r="F43" s="3"/>
      <c r="G43" s="3"/>
      <c r="H43" s="3"/>
      <c r="I43" s="3"/>
      <c r="J43" s="3"/>
      <c r="K43" s="1"/>
      <c r="L43" s="1"/>
      <c r="M43" s="3"/>
      <c r="N43" s="25"/>
      <c r="O43" s="26"/>
      <c r="P43" s="26"/>
      <c r="Q43" s="26"/>
      <c r="R43" s="26"/>
      <c r="S43" s="27"/>
      <c r="T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2:32" x14ac:dyDescent="0.25">
      <c r="B44" s="3"/>
      <c r="C44" s="3"/>
      <c r="D44" s="3"/>
      <c r="E44" s="3"/>
      <c r="F44" s="3"/>
      <c r="G44" s="3"/>
      <c r="H44" s="3"/>
      <c r="I44" s="3"/>
      <c r="J44" s="3"/>
      <c r="K44" s="1"/>
      <c r="L44" s="1"/>
      <c r="M44" s="3"/>
      <c r="N44" s="25"/>
      <c r="O44" s="26"/>
      <c r="P44" s="26"/>
      <c r="Q44" s="26"/>
      <c r="R44" s="26"/>
      <c r="S44" s="27"/>
      <c r="T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2:32" x14ac:dyDescent="0.25">
      <c r="B45" s="3"/>
      <c r="C45" s="3"/>
      <c r="D45" s="3"/>
      <c r="E45" s="3"/>
      <c r="F45" s="3"/>
      <c r="G45" s="3"/>
      <c r="H45" s="3"/>
      <c r="I45" s="3"/>
      <c r="J45" s="3"/>
      <c r="K45" s="1"/>
      <c r="L45" s="1"/>
      <c r="M45" s="3"/>
      <c r="N45" s="25"/>
      <c r="O45" s="26"/>
      <c r="P45" s="26"/>
      <c r="Q45" s="26"/>
      <c r="R45" s="26"/>
      <c r="S45" s="27"/>
      <c r="T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2:32" x14ac:dyDescent="0.25">
      <c r="B46" s="3"/>
      <c r="C46" s="3"/>
      <c r="D46" s="3"/>
      <c r="E46" s="3"/>
      <c r="F46" s="3"/>
      <c r="G46" s="3"/>
      <c r="H46" s="3"/>
      <c r="I46" s="3"/>
      <c r="J46" s="3"/>
      <c r="K46" s="1"/>
      <c r="L46" s="1"/>
      <c r="M46" s="3"/>
      <c r="N46" s="22"/>
      <c r="O46" s="23"/>
      <c r="P46" s="23"/>
      <c r="Q46" s="23"/>
      <c r="R46" s="23"/>
      <c r="S46" s="24"/>
      <c r="T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2:32" x14ac:dyDescent="0.25">
      <c r="B47" s="3"/>
      <c r="C47" s="3"/>
      <c r="D47" s="3"/>
      <c r="E47" s="3"/>
      <c r="F47" s="3"/>
      <c r="G47" s="3"/>
      <c r="H47" s="3"/>
      <c r="I47" s="3"/>
      <c r="J47" s="3"/>
      <c r="K47" s="1"/>
      <c r="L47" s="1"/>
      <c r="M47" s="3"/>
      <c r="N47" s="3"/>
      <c r="O47" s="3"/>
      <c r="P47" s="3"/>
      <c r="Q47" s="3"/>
      <c r="R47" s="3"/>
      <c r="S47" s="3"/>
      <c r="T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2:32" x14ac:dyDescent="0.25">
      <c r="B48" s="3"/>
      <c r="C48" s="3"/>
      <c r="D48" s="3"/>
      <c r="E48" s="3"/>
      <c r="F48" s="3"/>
      <c r="G48" s="3"/>
      <c r="H48" s="3"/>
      <c r="I48" s="3"/>
      <c r="J48" s="3"/>
      <c r="K48" s="1"/>
      <c r="L48" s="1"/>
      <c r="M48" s="3"/>
      <c r="N48" s="3"/>
      <c r="O48" s="3"/>
      <c r="P48" s="3"/>
      <c r="Q48" s="3"/>
      <c r="R48" s="3"/>
      <c r="S48" s="3"/>
      <c r="T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2:32" x14ac:dyDescent="0.25">
      <c r="B49" s="3"/>
      <c r="C49" s="3"/>
      <c r="D49" s="3"/>
      <c r="E49" s="3"/>
      <c r="F49" s="3"/>
      <c r="G49" s="3"/>
      <c r="H49" s="3"/>
      <c r="I49" s="3"/>
      <c r="J49" s="3"/>
      <c r="K49" s="1"/>
      <c r="L49" s="1"/>
      <c r="M49" s="3"/>
      <c r="N49" s="3"/>
      <c r="O49" s="3"/>
      <c r="P49" s="3"/>
      <c r="Q49" s="3"/>
      <c r="R49" s="3"/>
      <c r="S49" s="3"/>
      <c r="T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2:32" x14ac:dyDescent="0.25">
      <c r="B50" s="308" t="s">
        <v>25</v>
      </c>
      <c r="C50" s="308"/>
      <c r="D50" s="308"/>
      <c r="E50" s="308"/>
      <c r="F50" s="308"/>
      <c r="G50" s="308"/>
      <c r="H50" s="308"/>
      <c r="I50" s="308"/>
      <c r="J50" s="308"/>
      <c r="K50" s="1"/>
      <c r="L50" s="1"/>
      <c r="M50" s="308" t="str">
        <f>B50</f>
        <v>Product Testing Overview</v>
      </c>
      <c r="N50" s="308"/>
      <c r="O50" s="308"/>
      <c r="P50" s="308"/>
      <c r="Q50" s="308"/>
      <c r="R50" s="308"/>
      <c r="S50" s="308"/>
      <c r="T50" s="308"/>
      <c r="W50" s="308" t="str">
        <f>B50</f>
        <v>Product Testing Overview</v>
      </c>
      <c r="X50" s="308"/>
      <c r="Y50" s="308"/>
      <c r="Z50" s="308"/>
      <c r="AA50" s="308"/>
      <c r="AB50" s="308"/>
      <c r="AC50" s="308"/>
      <c r="AD50" s="308"/>
      <c r="AE50" s="308"/>
      <c r="AF50" s="308"/>
    </row>
  </sheetData>
  <sheetProtection formatCells="0" insertHyperlinks="0"/>
  <mergeCells count="37">
    <mergeCell ref="W50:AF50"/>
    <mergeCell ref="N8:N9"/>
    <mergeCell ref="O8:O9"/>
    <mergeCell ref="Q8:Q9"/>
    <mergeCell ref="R8:R9"/>
    <mergeCell ref="M50:T50"/>
    <mergeCell ref="W3:AF4"/>
    <mergeCell ref="AC5:AC13"/>
    <mergeCell ref="AD5:AD13"/>
    <mergeCell ref="AE6:AE13"/>
    <mergeCell ref="B37:C37"/>
    <mergeCell ref="G1:J4"/>
    <mergeCell ref="B6:J7"/>
    <mergeCell ref="B9:J9"/>
    <mergeCell ref="B12:J12"/>
    <mergeCell ref="B22:C22"/>
    <mergeCell ref="B23:C23"/>
    <mergeCell ref="B24:C24"/>
    <mergeCell ref="G16:J16"/>
    <mergeCell ref="G17:J17"/>
    <mergeCell ref="I22:J22"/>
    <mergeCell ref="G18:J18"/>
    <mergeCell ref="M3:T4"/>
    <mergeCell ref="B50:J50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G15:J15"/>
  </mergeCells>
  <conditionalFormatting sqref="H23:H37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{FE1BE64D-050D-4774-91EC-1877EB38D18E}</x14:id>
        </ext>
      </extLst>
    </cfRule>
  </conditionalFormatting>
  <hyperlinks>
    <hyperlink ref="B23:C23" location="Electrical!A1" display="Electrical"/>
    <hyperlink ref="B24:C24" location="'Electrical Functional'!A1" display="Electrical Functional"/>
    <hyperlink ref="B29:C29" location="'Risk Analysis'!A1" display="Risk Analysis"/>
    <hyperlink ref="B25:C25" location="Functional!A1" display="Functional"/>
    <hyperlink ref="B26:C26" location="'Lifetime Estimation'!A1" display="Lifetime Estimation"/>
    <hyperlink ref="B27:C27" location="Environmental!A1" display="Environmental"/>
    <hyperlink ref="B28:C28" location="EMC!A1" display="EMC"/>
    <hyperlink ref="B30:C30" location="Certification!A1" display="Certification"/>
    <hyperlink ref="B31:C31" location="Aging!A1" display="Aging"/>
    <hyperlink ref="B32:C32" location="Mechanical!A1" display="Mechanical"/>
    <hyperlink ref="B33:C33" location="'Quality Assurance'!A1" display="Quality Assurance"/>
    <hyperlink ref="B34:C34" location="Misc!A1" display="Misc"/>
  </hyperlinks>
  <pageMargins left="0.7" right="0.7" top="0.78740157499999996" bottom="0.78740157499999996" header="0.3" footer="0.3"/>
  <pageSetup paperSize="9" scale="91" orientation="portrait" verticalDpi="0" r:id="rId1"/>
  <colBreaks count="1" manualBreakCount="1">
    <brk id="11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1BE64D-050D-4774-91EC-1877EB38D1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H23:H37</xm:sqref>
        </x14:conditionalFormatting>
        <x14:conditionalFormatting xmlns:xm="http://schemas.microsoft.com/office/excel/2006/main">
          <x14:cfRule type="iconSet" priority="9" id="{4D2F9A51-A3AB-41ED-BDB7-224BE66AF955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I23:J36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3" tint="0.59999389629810485"/>
  </sheetPr>
  <dimension ref="A1:T50"/>
  <sheetViews>
    <sheetView zoomScale="80" zoomScaleNormal="80" workbookViewId="0">
      <selection activeCell="B6" sqref="B6:I7"/>
    </sheetView>
  </sheetViews>
  <sheetFormatPr baseColWidth="10" defaultRowHeight="15" x14ac:dyDescent="0.25"/>
  <cols>
    <col min="1" max="1" width="4.7109375" customWidth="1"/>
    <col min="10" max="11" width="4.7109375" customWidth="1"/>
    <col min="20" max="20" width="4.7109375" customWidth="1"/>
  </cols>
  <sheetData>
    <row r="1" spans="1:20" ht="15" customHeight="1" x14ac:dyDescent="0.25">
      <c r="A1" s="1"/>
      <c r="B1" s="3"/>
      <c r="C1" s="3"/>
      <c r="D1" s="3"/>
      <c r="E1" s="3"/>
      <c r="F1" s="3"/>
      <c r="G1" s="321" t="s">
        <v>0</v>
      </c>
      <c r="H1" s="322"/>
      <c r="I1" s="322"/>
      <c r="J1" s="1"/>
      <c r="K1" s="1"/>
      <c r="L1" s="3"/>
      <c r="M1" s="3"/>
      <c r="N1" s="3"/>
      <c r="O1" s="3"/>
      <c r="P1" s="3"/>
      <c r="Q1" s="321" t="s">
        <v>0</v>
      </c>
      <c r="R1" s="322"/>
      <c r="S1" s="322"/>
      <c r="T1" s="1"/>
    </row>
    <row r="2" spans="1:20" x14ac:dyDescent="0.25">
      <c r="A2" s="1"/>
      <c r="B2" s="3"/>
      <c r="C2" s="3"/>
      <c r="D2" s="3"/>
      <c r="E2" s="3"/>
      <c r="F2" s="3"/>
      <c r="G2" s="322"/>
      <c r="H2" s="322"/>
      <c r="I2" s="322"/>
      <c r="J2" s="1"/>
      <c r="K2" s="1"/>
      <c r="L2" s="3"/>
      <c r="M2" s="3"/>
      <c r="N2" s="3"/>
      <c r="O2" s="3"/>
      <c r="P2" s="3"/>
      <c r="Q2" s="322"/>
      <c r="R2" s="322"/>
      <c r="S2" s="322"/>
      <c r="T2" s="1"/>
    </row>
    <row r="3" spans="1:20" x14ac:dyDescent="0.25">
      <c r="A3" s="1"/>
      <c r="B3" s="3"/>
      <c r="C3" s="3"/>
      <c r="D3" s="3"/>
      <c r="E3" s="3"/>
      <c r="F3" s="3"/>
      <c r="G3" s="322"/>
      <c r="H3" s="322"/>
      <c r="I3" s="322"/>
      <c r="J3" s="1"/>
      <c r="K3" s="1"/>
      <c r="L3" s="3"/>
      <c r="M3" s="3"/>
      <c r="N3" s="3"/>
      <c r="O3" s="3"/>
      <c r="P3" s="3"/>
      <c r="Q3" s="322"/>
      <c r="R3" s="322"/>
      <c r="S3" s="322"/>
      <c r="T3" s="1"/>
    </row>
    <row r="4" spans="1:20" x14ac:dyDescent="0.25">
      <c r="A4" s="1"/>
      <c r="B4" s="2"/>
      <c r="C4" s="2"/>
      <c r="D4" s="2"/>
      <c r="E4" s="2"/>
      <c r="F4" s="2"/>
      <c r="G4" s="323"/>
      <c r="H4" s="323"/>
      <c r="I4" s="323"/>
      <c r="J4" s="1"/>
      <c r="K4" s="1"/>
      <c r="L4" s="2"/>
      <c r="M4" s="2"/>
      <c r="N4" s="2"/>
      <c r="O4" s="2"/>
      <c r="P4" s="2"/>
      <c r="Q4" s="323"/>
      <c r="R4" s="323"/>
      <c r="S4" s="323"/>
      <c r="T4" s="1"/>
    </row>
    <row r="5" spans="1:20" x14ac:dyDescent="0.25">
      <c r="A5" s="1"/>
      <c r="B5" s="3"/>
      <c r="C5" s="3"/>
      <c r="D5" s="3"/>
      <c r="E5" s="3"/>
      <c r="F5" s="3"/>
      <c r="G5" s="3"/>
      <c r="H5" s="3"/>
      <c r="I5" s="3"/>
      <c r="J5" s="1"/>
      <c r="K5" s="1"/>
      <c r="L5" s="3"/>
      <c r="M5" s="3"/>
      <c r="N5" s="3"/>
      <c r="O5" s="3"/>
      <c r="P5" s="3"/>
      <c r="Q5" s="3"/>
      <c r="R5" s="3"/>
      <c r="S5" s="3"/>
      <c r="T5" s="1"/>
    </row>
    <row r="6" spans="1:20" ht="15" customHeight="1" x14ac:dyDescent="0.25">
      <c r="A6" s="1"/>
      <c r="B6" s="307" t="s">
        <v>136</v>
      </c>
      <c r="C6" s="307"/>
      <c r="D6" s="307"/>
      <c r="E6" s="307"/>
      <c r="F6" s="307"/>
      <c r="G6" s="307"/>
      <c r="H6" s="307"/>
      <c r="I6" s="307"/>
      <c r="J6" s="1"/>
      <c r="K6" s="1"/>
      <c r="L6" s="307" t="s">
        <v>136</v>
      </c>
      <c r="M6" s="307"/>
      <c r="N6" s="307"/>
      <c r="O6" s="307"/>
      <c r="P6" s="307"/>
      <c r="Q6" s="307"/>
      <c r="R6" s="307"/>
      <c r="S6" s="307"/>
      <c r="T6" s="1"/>
    </row>
    <row r="7" spans="1:20" ht="15" customHeight="1" x14ac:dyDescent="0.25">
      <c r="A7" s="1"/>
      <c r="B7" s="307"/>
      <c r="C7" s="307"/>
      <c r="D7" s="307"/>
      <c r="E7" s="307"/>
      <c r="F7" s="307"/>
      <c r="G7" s="307"/>
      <c r="H7" s="307"/>
      <c r="I7" s="307"/>
      <c r="J7" s="1"/>
      <c r="K7" s="1"/>
      <c r="L7" s="307"/>
      <c r="M7" s="307"/>
      <c r="N7" s="307"/>
      <c r="O7" s="307"/>
      <c r="P7" s="307"/>
      <c r="Q7" s="307"/>
      <c r="R7" s="307"/>
      <c r="S7" s="307"/>
      <c r="T7" s="1"/>
    </row>
    <row r="8" spans="1:20" x14ac:dyDescent="0.25">
      <c r="A8" s="1"/>
      <c r="B8" s="3"/>
      <c r="C8" s="3"/>
      <c r="D8" s="3"/>
      <c r="E8" s="3"/>
      <c r="F8" s="3"/>
      <c r="G8" s="3"/>
      <c r="H8" s="3"/>
      <c r="I8" s="3"/>
      <c r="J8" s="1"/>
      <c r="K8" s="1"/>
      <c r="L8" s="3"/>
      <c r="M8" s="3"/>
      <c r="N8" s="3"/>
      <c r="O8" s="3"/>
      <c r="P8" s="3"/>
      <c r="Q8" s="3"/>
      <c r="R8" s="3"/>
      <c r="S8" s="3"/>
      <c r="T8" s="1"/>
    </row>
    <row r="9" spans="1:20" x14ac:dyDescent="0.25">
      <c r="A9" s="1"/>
      <c r="B9" s="324" t="s">
        <v>130</v>
      </c>
      <c r="C9" s="324"/>
      <c r="D9" s="324"/>
      <c r="E9" s="324"/>
      <c r="F9" s="324"/>
      <c r="G9" s="324"/>
      <c r="H9" s="324"/>
      <c r="I9" s="324"/>
      <c r="J9" s="1"/>
      <c r="K9" s="1"/>
      <c r="L9" s="256" t="s">
        <v>189</v>
      </c>
      <c r="M9" s="254"/>
      <c r="N9" s="254"/>
      <c r="O9" s="254"/>
      <c r="P9" s="254"/>
      <c r="Q9" s="254"/>
      <c r="R9" s="254"/>
      <c r="S9" s="254"/>
      <c r="T9" s="1"/>
    </row>
    <row r="10" spans="1:20" x14ac:dyDescent="0.25">
      <c r="A10" s="1"/>
      <c r="B10" s="3"/>
      <c r="C10" s="3"/>
      <c r="D10" s="3"/>
      <c r="E10" s="3"/>
      <c r="F10" s="3"/>
      <c r="G10" s="3"/>
      <c r="H10" s="3"/>
      <c r="I10" s="3"/>
      <c r="J10" s="1"/>
      <c r="K10" s="1"/>
      <c r="L10" s="248"/>
      <c r="M10" s="248"/>
      <c r="N10" s="248"/>
      <c r="O10" s="248"/>
      <c r="P10" s="248"/>
      <c r="Q10" s="248"/>
      <c r="R10" s="248"/>
      <c r="S10" s="248"/>
      <c r="T10" s="1"/>
    </row>
    <row r="11" spans="1:20" ht="15.75" thickBot="1" x14ac:dyDescent="0.3">
      <c r="A11" s="1"/>
      <c r="B11" s="3"/>
      <c r="C11" s="3"/>
      <c r="D11" s="3"/>
      <c r="E11" s="3"/>
      <c r="F11" s="3"/>
      <c r="G11" s="3"/>
      <c r="H11" s="3"/>
      <c r="I11" s="3"/>
      <c r="J11" s="1"/>
      <c r="K11" s="1"/>
      <c r="L11" s="257"/>
      <c r="M11" s="258"/>
      <c r="N11" s="258"/>
      <c r="O11" s="258"/>
      <c r="P11" s="258"/>
      <c r="Q11" s="258"/>
      <c r="R11" s="258"/>
      <c r="S11" s="259"/>
      <c r="T11" s="1"/>
    </row>
    <row r="12" spans="1:20" ht="15.75" thickBot="1" x14ac:dyDescent="0.3">
      <c r="A12" s="1"/>
      <c r="B12" s="325" t="s">
        <v>1</v>
      </c>
      <c r="C12" s="326"/>
      <c r="D12" s="326"/>
      <c r="E12" s="326"/>
      <c r="F12" s="326"/>
      <c r="G12" s="326"/>
      <c r="H12" s="326"/>
      <c r="I12" s="327"/>
      <c r="J12" s="1"/>
      <c r="K12" s="1"/>
      <c r="L12" s="260"/>
      <c r="M12" s="255"/>
      <c r="N12" s="255"/>
      <c r="O12" s="255"/>
      <c r="P12" s="255"/>
      <c r="Q12" s="255"/>
      <c r="R12" s="255"/>
      <c r="S12" s="261"/>
      <c r="T12" s="1"/>
    </row>
    <row r="13" spans="1:20" x14ac:dyDescent="0.25">
      <c r="A13" s="1"/>
      <c r="B13" s="4"/>
      <c r="C13" s="4"/>
      <c r="D13" s="4"/>
      <c r="E13" s="4"/>
      <c r="F13" s="4"/>
      <c r="G13" s="4"/>
      <c r="H13" s="4"/>
      <c r="I13" s="4"/>
      <c r="J13" s="1"/>
      <c r="K13" s="1"/>
      <c r="L13" s="237"/>
      <c r="M13" s="247"/>
      <c r="N13" s="247"/>
      <c r="O13" s="247"/>
      <c r="P13" s="247"/>
      <c r="Q13" s="247"/>
      <c r="R13" s="247"/>
      <c r="S13" s="239"/>
      <c r="T13" s="1"/>
    </row>
    <row r="14" spans="1:20" x14ac:dyDescent="0.25">
      <c r="A14" s="1"/>
      <c r="B14" s="3"/>
      <c r="C14" s="3"/>
      <c r="D14" s="3"/>
      <c r="E14" s="3"/>
      <c r="F14" s="3"/>
      <c r="G14" s="3"/>
      <c r="H14" s="3"/>
      <c r="I14" s="3"/>
      <c r="J14" s="1"/>
      <c r="K14" s="1"/>
      <c r="L14" s="235"/>
      <c r="M14" s="248"/>
      <c r="N14" s="248"/>
      <c r="O14" s="248"/>
      <c r="P14" s="248"/>
      <c r="Q14" s="248"/>
      <c r="R14" s="248"/>
      <c r="S14" s="236"/>
      <c r="T14" s="1"/>
    </row>
    <row r="15" spans="1:20" x14ac:dyDescent="0.25">
      <c r="A15" s="1"/>
      <c r="B15" s="215" t="s">
        <v>137</v>
      </c>
      <c r="C15" s="13"/>
      <c r="D15" s="13"/>
      <c r="E15" s="216"/>
      <c r="F15" s="13"/>
      <c r="G15" s="342"/>
      <c r="H15" s="342"/>
      <c r="I15" s="342"/>
      <c r="J15" s="1"/>
      <c r="K15" s="1"/>
      <c r="L15" s="240"/>
      <c r="M15" s="248"/>
      <c r="N15" s="248"/>
      <c r="O15" s="216"/>
      <c r="P15" s="248"/>
      <c r="Q15" s="226"/>
      <c r="R15" s="226"/>
      <c r="S15" s="242"/>
      <c r="T15" s="1"/>
    </row>
    <row r="16" spans="1:20" x14ac:dyDescent="0.25">
      <c r="A16" s="1"/>
      <c r="B16" s="13"/>
      <c r="C16" s="13" t="s">
        <v>168</v>
      </c>
      <c r="D16" s="13"/>
      <c r="E16" s="216"/>
      <c r="F16" s="343"/>
      <c r="G16" s="344"/>
      <c r="H16" s="345"/>
      <c r="I16" s="225"/>
      <c r="J16" s="1"/>
      <c r="K16" s="1"/>
      <c r="L16" s="235"/>
      <c r="M16" s="248"/>
      <c r="N16" s="248"/>
      <c r="O16" s="216"/>
      <c r="P16" s="222"/>
      <c r="Q16" s="222"/>
      <c r="R16" s="222"/>
      <c r="S16" s="241"/>
      <c r="T16" s="1"/>
    </row>
    <row r="17" spans="1:20" x14ac:dyDescent="0.25">
      <c r="A17" s="1"/>
      <c r="B17" s="13"/>
      <c r="C17" s="13" t="s">
        <v>169</v>
      </c>
      <c r="D17" s="13"/>
      <c r="E17" s="216"/>
      <c r="F17" s="346"/>
      <c r="G17" s="347"/>
      <c r="H17" s="348"/>
      <c r="I17" s="226"/>
      <c r="J17" s="1"/>
      <c r="K17" s="1"/>
      <c r="L17" s="235"/>
      <c r="M17" s="248"/>
      <c r="N17" s="248"/>
      <c r="O17" s="216"/>
      <c r="P17" s="222"/>
      <c r="Q17" s="222"/>
      <c r="R17" s="222"/>
      <c r="S17" s="242"/>
      <c r="T17" s="1"/>
    </row>
    <row r="18" spans="1:20" x14ac:dyDescent="0.25">
      <c r="A18" s="1"/>
      <c r="B18" s="13"/>
      <c r="C18" s="13"/>
      <c r="D18" s="13"/>
      <c r="E18" s="216"/>
      <c r="F18" s="217"/>
      <c r="G18" s="226"/>
      <c r="H18" s="226"/>
      <c r="I18" s="226"/>
      <c r="J18" s="1"/>
      <c r="K18" s="1"/>
      <c r="L18" s="235"/>
      <c r="M18" s="248"/>
      <c r="N18" s="248"/>
      <c r="O18" s="216"/>
      <c r="P18" s="222"/>
      <c r="Q18" s="226"/>
      <c r="R18" s="226"/>
      <c r="S18" s="242"/>
      <c r="T18" s="1"/>
    </row>
    <row r="19" spans="1:20" x14ac:dyDescent="0.25">
      <c r="A19" s="1"/>
      <c r="B19" s="215" t="s">
        <v>138</v>
      </c>
      <c r="C19" s="13"/>
      <c r="D19" s="13"/>
      <c r="E19" s="13"/>
      <c r="F19" s="13"/>
      <c r="G19" s="13"/>
      <c r="H19" s="13"/>
      <c r="I19" s="13"/>
      <c r="J19" s="1"/>
      <c r="K19" s="1"/>
      <c r="L19" s="240"/>
      <c r="M19" s="248"/>
      <c r="N19" s="248"/>
      <c r="O19" s="248"/>
      <c r="P19" s="248"/>
      <c r="Q19" s="248"/>
      <c r="R19" s="248"/>
      <c r="S19" s="236"/>
      <c r="T19" s="1"/>
    </row>
    <row r="20" spans="1:20" x14ac:dyDescent="0.25">
      <c r="A20" s="1"/>
      <c r="B20" s="215"/>
      <c r="C20" s="13" t="s">
        <v>170</v>
      </c>
      <c r="D20" s="13"/>
      <c r="E20" s="13"/>
      <c r="F20" s="227"/>
      <c r="G20" s="228"/>
      <c r="H20" s="229"/>
      <c r="I20" s="13"/>
      <c r="J20" s="1"/>
      <c r="K20" s="1"/>
      <c r="L20" s="240"/>
      <c r="M20" s="248"/>
      <c r="N20" s="248"/>
      <c r="O20" s="248"/>
      <c r="P20" s="248"/>
      <c r="Q20" s="248"/>
      <c r="R20" s="248"/>
      <c r="S20" s="236"/>
      <c r="T20" s="1"/>
    </row>
    <row r="21" spans="1:20" x14ac:dyDescent="0.25">
      <c r="A21" s="1"/>
      <c r="B21" s="13"/>
      <c r="C21" s="13" t="s">
        <v>171</v>
      </c>
      <c r="D21" s="13"/>
      <c r="E21" s="13"/>
      <c r="F21" s="227"/>
      <c r="G21" s="228"/>
      <c r="H21" s="229"/>
      <c r="I21" s="13"/>
      <c r="J21" s="1"/>
      <c r="K21" s="1"/>
      <c r="L21" s="235"/>
      <c r="M21" s="248"/>
      <c r="N21" s="248"/>
      <c r="O21" s="248"/>
      <c r="P21" s="248"/>
      <c r="Q21" s="248"/>
      <c r="R21" s="248"/>
      <c r="S21" s="236"/>
      <c r="T21" s="1"/>
    </row>
    <row r="22" spans="1:20" x14ac:dyDescent="0.25">
      <c r="A22" s="1"/>
      <c r="B22" s="349"/>
      <c r="C22" s="349"/>
      <c r="D22" s="220"/>
      <c r="E22" s="220"/>
      <c r="F22" s="220"/>
      <c r="G22" s="220"/>
      <c r="H22" s="220"/>
      <c r="I22" s="220"/>
      <c r="J22" s="1"/>
      <c r="K22" s="1"/>
      <c r="L22" s="263"/>
      <c r="M22" s="224"/>
      <c r="N22" s="220"/>
      <c r="O22" s="220"/>
      <c r="P22" s="220"/>
      <c r="Q22" s="220"/>
      <c r="R22" s="220"/>
      <c r="S22" s="243"/>
      <c r="T22" s="1"/>
    </row>
    <row r="23" spans="1:20" x14ac:dyDescent="0.25">
      <c r="A23" s="1"/>
      <c r="B23" s="223"/>
      <c r="C23" s="223"/>
      <c r="D23" s="218"/>
      <c r="E23" s="218"/>
      <c r="F23" s="218"/>
      <c r="G23" s="218"/>
      <c r="H23" s="219"/>
      <c r="I23" s="218"/>
      <c r="J23" s="1"/>
      <c r="K23" s="1"/>
      <c r="L23" s="244"/>
      <c r="M23" s="223"/>
      <c r="N23" s="218"/>
      <c r="O23" s="218"/>
      <c r="P23" s="218"/>
      <c r="Q23" s="218"/>
      <c r="R23" s="219"/>
      <c r="S23" s="245"/>
      <c r="T23" s="1"/>
    </row>
    <row r="24" spans="1:20" x14ac:dyDescent="0.25">
      <c r="A24" s="1"/>
      <c r="B24" s="230" t="s">
        <v>139</v>
      </c>
      <c r="C24" s="223"/>
      <c r="D24" s="218"/>
      <c r="E24" s="218"/>
      <c r="F24" s="218"/>
      <c r="G24" s="218"/>
      <c r="H24" s="219"/>
      <c r="I24" s="218"/>
      <c r="J24" s="1"/>
      <c r="K24" s="1"/>
      <c r="L24" s="246"/>
      <c r="M24" s="223"/>
      <c r="N24" s="218"/>
      <c r="O24" s="218"/>
      <c r="P24" s="218"/>
      <c r="Q24" s="218"/>
      <c r="R24" s="219"/>
      <c r="S24" s="245"/>
      <c r="T24" s="1"/>
    </row>
    <row r="25" spans="1:20" x14ac:dyDescent="0.25">
      <c r="A25" s="1"/>
      <c r="B25" s="223"/>
      <c r="C25" s="231" t="s">
        <v>172</v>
      </c>
      <c r="D25" s="218"/>
      <c r="E25" s="218"/>
      <c r="F25" s="232"/>
      <c r="G25" s="99"/>
      <c r="H25" s="233"/>
      <c r="I25" s="218"/>
      <c r="J25" s="1"/>
      <c r="K25" s="1"/>
      <c r="L25" s="244"/>
      <c r="M25" s="231"/>
      <c r="N25" s="218"/>
      <c r="O25" s="218"/>
      <c r="P25" s="218"/>
      <c r="Q25" s="218"/>
      <c r="R25" s="219"/>
      <c r="S25" s="245"/>
      <c r="T25" s="1"/>
    </row>
    <row r="26" spans="1:20" x14ac:dyDescent="0.25">
      <c r="A26" s="1"/>
      <c r="B26" s="223"/>
      <c r="C26" s="231" t="s">
        <v>140</v>
      </c>
      <c r="D26" s="218"/>
      <c r="E26" s="218"/>
      <c r="F26" s="232"/>
      <c r="G26" s="99"/>
      <c r="H26" s="233"/>
      <c r="I26" s="218"/>
      <c r="J26" s="1"/>
      <c r="K26" s="1"/>
      <c r="L26" s="244"/>
      <c r="M26" s="231"/>
      <c r="N26" s="218"/>
      <c r="O26" s="218"/>
      <c r="P26" s="218"/>
      <c r="Q26" s="218"/>
      <c r="R26" s="219"/>
      <c r="S26" s="245"/>
      <c r="T26" s="1"/>
    </row>
    <row r="27" spans="1:20" x14ac:dyDescent="0.25">
      <c r="A27" s="1"/>
      <c r="B27" s="223"/>
      <c r="C27" s="231" t="s">
        <v>167</v>
      </c>
      <c r="D27" s="218"/>
      <c r="E27" s="218"/>
      <c r="F27" s="232"/>
      <c r="G27" s="99"/>
      <c r="H27" s="233"/>
      <c r="I27" s="218"/>
      <c r="J27" s="1"/>
      <c r="K27" s="1"/>
      <c r="L27" s="244"/>
      <c r="M27" s="223"/>
      <c r="N27" s="218"/>
      <c r="O27" s="218"/>
      <c r="P27" s="218"/>
      <c r="Q27" s="218"/>
      <c r="R27" s="219"/>
      <c r="S27" s="245"/>
      <c r="T27" s="1"/>
    </row>
    <row r="28" spans="1:20" x14ac:dyDescent="0.25">
      <c r="A28" s="1"/>
      <c r="B28" s="223"/>
      <c r="C28" s="223"/>
      <c r="D28" s="218"/>
      <c r="E28" s="218"/>
      <c r="F28" s="218"/>
      <c r="G28" s="218"/>
      <c r="H28" s="219"/>
      <c r="I28" s="218"/>
      <c r="J28" s="1"/>
      <c r="K28" s="1"/>
      <c r="L28" s="244"/>
      <c r="M28" s="223"/>
      <c r="N28" s="218"/>
      <c r="O28" s="218"/>
      <c r="P28" s="218"/>
      <c r="Q28" s="218"/>
      <c r="R28" s="219"/>
      <c r="S28" s="245"/>
      <c r="T28" s="1"/>
    </row>
    <row r="29" spans="1:20" x14ac:dyDescent="0.25">
      <c r="A29" s="1"/>
      <c r="B29" s="223"/>
      <c r="C29" s="223"/>
      <c r="D29" s="218"/>
      <c r="E29" s="218"/>
      <c r="F29" s="218"/>
      <c r="G29" s="218"/>
      <c r="H29" s="219"/>
      <c r="I29" s="218"/>
      <c r="J29" s="1"/>
      <c r="K29" s="1"/>
      <c r="L29" s="244"/>
      <c r="M29" s="223"/>
      <c r="N29" s="218"/>
      <c r="O29" s="218"/>
      <c r="P29" s="218"/>
      <c r="Q29" s="218"/>
      <c r="R29" s="219"/>
      <c r="S29" s="245"/>
      <c r="T29" s="1"/>
    </row>
    <row r="30" spans="1:20" x14ac:dyDescent="0.25">
      <c r="A30" s="1"/>
      <c r="B30" s="230" t="s">
        <v>141</v>
      </c>
      <c r="C30" s="223"/>
      <c r="D30" s="218"/>
      <c r="E30" s="218"/>
      <c r="F30" s="218"/>
      <c r="G30" s="218"/>
      <c r="H30" s="219"/>
      <c r="I30" s="218"/>
      <c r="J30" s="1"/>
      <c r="K30" s="1"/>
      <c r="L30" s="246"/>
      <c r="M30" s="223"/>
      <c r="N30" s="218"/>
      <c r="O30" s="218"/>
      <c r="P30" s="218"/>
      <c r="Q30" s="218"/>
      <c r="R30" s="219"/>
      <c r="S30" s="245"/>
      <c r="T30" s="1"/>
    </row>
    <row r="31" spans="1:20" x14ac:dyDescent="0.25">
      <c r="A31" s="1"/>
      <c r="B31" s="223"/>
      <c r="C31" s="231" t="s">
        <v>142</v>
      </c>
      <c r="D31" s="218"/>
      <c r="E31" s="218"/>
      <c r="F31" s="232"/>
      <c r="G31" s="99"/>
      <c r="H31" s="233"/>
      <c r="I31" s="218"/>
      <c r="J31" s="1"/>
      <c r="K31" s="1"/>
      <c r="L31" s="244"/>
      <c r="M31" s="231"/>
      <c r="N31" s="218"/>
      <c r="O31" s="218"/>
      <c r="P31" s="218"/>
      <c r="Q31" s="218"/>
      <c r="R31" s="219"/>
      <c r="S31" s="245"/>
      <c r="T31" s="1"/>
    </row>
    <row r="32" spans="1:20" x14ac:dyDescent="0.25">
      <c r="A32" s="1"/>
      <c r="B32" s="217"/>
      <c r="C32" s="217" t="s">
        <v>143</v>
      </c>
      <c r="D32" s="218"/>
      <c r="E32" s="218"/>
      <c r="F32" s="232"/>
      <c r="G32" s="99"/>
      <c r="H32" s="234"/>
      <c r="I32" s="218"/>
      <c r="J32" s="1"/>
      <c r="K32" s="1"/>
      <c r="L32" s="262"/>
      <c r="M32" s="222"/>
      <c r="N32" s="218"/>
      <c r="O32" s="218"/>
      <c r="P32" s="218"/>
      <c r="Q32" s="218"/>
      <c r="R32" s="218"/>
      <c r="S32" s="245"/>
      <c r="T32" s="1"/>
    </row>
    <row r="33" spans="1:20" x14ac:dyDescent="0.25">
      <c r="A33" s="1"/>
      <c r="B33" s="217"/>
      <c r="C33" s="217"/>
      <c r="D33" s="218"/>
      <c r="E33" s="218"/>
      <c r="F33" s="218"/>
      <c r="G33" s="218"/>
      <c r="H33" s="218"/>
      <c r="I33" s="218"/>
      <c r="J33" s="1"/>
      <c r="K33" s="1"/>
      <c r="L33" s="262"/>
      <c r="M33" s="222"/>
      <c r="N33" s="218"/>
      <c r="O33" s="218"/>
      <c r="P33" s="218"/>
      <c r="Q33" s="218"/>
      <c r="R33" s="218"/>
      <c r="S33" s="245"/>
      <c r="T33" s="1"/>
    </row>
    <row r="34" spans="1:20" x14ac:dyDescent="0.25">
      <c r="A34" s="1"/>
      <c r="B34" s="217"/>
      <c r="C34" s="217"/>
      <c r="D34" s="218"/>
      <c r="E34" s="218"/>
      <c r="F34" s="218"/>
      <c r="G34" s="218"/>
      <c r="H34" s="218"/>
      <c r="I34" s="218"/>
      <c r="J34" s="1"/>
      <c r="K34" s="1"/>
      <c r="L34" s="262"/>
      <c r="M34" s="222"/>
      <c r="N34" s="218"/>
      <c r="O34" s="218"/>
      <c r="P34" s="218"/>
      <c r="Q34" s="218"/>
      <c r="R34" s="218"/>
      <c r="S34" s="245"/>
      <c r="T34" s="1"/>
    </row>
    <row r="35" spans="1:20" x14ac:dyDescent="0.25">
      <c r="A35" s="1"/>
      <c r="B35" s="253" t="s">
        <v>144</v>
      </c>
      <c r="C35" s="217"/>
      <c r="D35" s="218"/>
      <c r="E35" s="218"/>
      <c r="F35" s="218"/>
      <c r="G35" s="218"/>
      <c r="H35" s="218"/>
      <c r="I35" s="218"/>
      <c r="J35" s="1"/>
      <c r="K35" s="1"/>
      <c r="L35" s="262"/>
      <c r="M35" s="222"/>
      <c r="N35" s="218"/>
      <c r="O35" s="218"/>
      <c r="P35" s="218"/>
      <c r="Q35" s="218"/>
      <c r="R35" s="218"/>
      <c r="S35" s="245"/>
      <c r="T35" s="1"/>
    </row>
    <row r="36" spans="1:20" x14ac:dyDescent="0.25">
      <c r="A36" s="1"/>
      <c r="B36" s="217"/>
      <c r="C36" s="217" t="s">
        <v>145</v>
      </c>
      <c r="D36" s="218"/>
      <c r="E36" s="218"/>
      <c r="F36" s="232"/>
      <c r="G36" s="99"/>
      <c r="H36" s="234"/>
      <c r="I36" s="218"/>
      <c r="J36" s="1"/>
      <c r="K36" s="1"/>
      <c r="L36" s="262"/>
      <c r="M36" s="222"/>
      <c r="N36" s="218"/>
      <c r="O36" s="218"/>
      <c r="P36" s="218"/>
      <c r="Q36" s="218"/>
      <c r="R36" s="218"/>
      <c r="S36" s="245"/>
      <c r="T36" s="1"/>
    </row>
    <row r="37" spans="1:20" x14ac:dyDescent="0.25">
      <c r="A37" s="1"/>
      <c r="B37" s="224"/>
      <c r="C37" s="224"/>
      <c r="D37" s="220"/>
      <c r="E37" s="220"/>
      <c r="F37" s="220"/>
      <c r="G37" s="220"/>
      <c r="H37" s="221"/>
      <c r="I37" s="220"/>
      <c r="J37" s="1"/>
      <c r="K37" s="1"/>
      <c r="L37" s="263"/>
      <c r="M37" s="224"/>
      <c r="N37" s="220"/>
      <c r="O37" s="220"/>
      <c r="P37" s="220"/>
      <c r="Q37" s="220"/>
      <c r="R37" s="221"/>
      <c r="S37" s="243"/>
      <c r="T37" s="1"/>
    </row>
    <row r="38" spans="1:20" x14ac:dyDescent="0.25">
      <c r="A38" s="1"/>
      <c r="B38" s="3"/>
      <c r="C38" s="3"/>
      <c r="D38" s="3"/>
      <c r="E38" s="3"/>
      <c r="F38" s="3"/>
      <c r="G38" s="3"/>
      <c r="H38" s="3"/>
      <c r="I38" s="3"/>
      <c r="J38" s="1"/>
      <c r="K38" s="1"/>
      <c r="L38" s="235"/>
      <c r="M38" s="248"/>
      <c r="N38" s="248"/>
      <c r="O38" s="248"/>
      <c r="P38" s="248"/>
      <c r="Q38" s="248"/>
      <c r="R38" s="248"/>
      <c r="S38" s="236"/>
      <c r="T38" s="1"/>
    </row>
    <row r="39" spans="1:20" x14ac:dyDescent="0.25">
      <c r="A39" s="1"/>
      <c r="B39" s="12"/>
      <c r="C39" s="3"/>
      <c r="D39" s="3"/>
      <c r="E39" s="3"/>
      <c r="F39" s="3"/>
      <c r="G39" s="3"/>
      <c r="H39" s="3"/>
      <c r="I39" s="3"/>
      <c r="J39" s="1"/>
      <c r="K39" s="1"/>
      <c r="L39" s="264"/>
      <c r="M39" s="248"/>
      <c r="N39" s="248"/>
      <c r="O39" s="248"/>
      <c r="P39" s="248"/>
      <c r="Q39" s="248"/>
      <c r="R39" s="248"/>
      <c r="S39" s="236"/>
      <c r="T39" s="1"/>
    </row>
    <row r="40" spans="1:20" x14ac:dyDescent="0.25">
      <c r="A40" s="1"/>
      <c r="B40" s="1"/>
      <c r="C40" s="3"/>
      <c r="D40" s="3"/>
      <c r="E40" s="3"/>
      <c r="F40" s="3"/>
      <c r="G40" s="3"/>
      <c r="H40" s="3"/>
      <c r="I40" s="3"/>
      <c r="J40" s="1"/>
      <c r="K40" s="1"/>
      <c r="L40" s="185"/>
      <c r="M40" s="248"/>
      <c r="N40" s="248"/>
      <c r="O40" s="248"/>
      <c r="P40" s="248"/>
      <c r="Q40" s="248"/>
      <c r="R40" s="248"/>
      <c r="S40" s="236"/>
      <c r="T40" s="1"/>
    </row>
    <row r="41" spans="1:20" x14ac:dyDescent="0.25">
      <c r="A41" s="1"/>
      <c r="B41" s="3"/>
      <c r="C41" s="3"/>
      <c r="D41" s="3"/>
      <c r="E41" s="3"/>
      <c r="F41" s="3"/>
      <c r="G41" s="3"/>
      <c r="H41" s="3"/>
      <c r="I41" s="3"/>
      <c r="J41" s="1"/>
      <c r="K41" s="1"/>
      <c r="L41" s="235"/>
      <c r="M41" s="248"/>
      <c r="N41" s="248"/>
      <c r="O41" s="248"/>
      <c r="P41" s="248"/>
      <c r="Q41" s="248"/>
      <c r="R41" s="248"/>
      <c r="S41" s="236"/>
      <c r="T41" s="1"/>
    </row>
    <row r="42" spans="1:20" x14ac:dyDescent="0.25">
      <c r="A42" s="1"/>
      <c r="B42" s="3"/>
      <c r="C42" s="3"/>
      <c r="D42" s="3"/>
      <c r="E42" s="3"/>
      <c r="F42" s="3"/>
      <c r="G42" s="3"/>
      <c r="H42" s="3"/>
      <c r="I42" s="3"/>
      <c r="J42" s="1"/>
      <c r="K42" s="1"/>
      <c r="L42" s="235"/>
      <c r="M42" s="248"/>
      <c r="N42" s="248"/>
      <c r="O42" s="248"/>
      <c r="P42" s="248"/>
      <c r="Q42" s="248"/>
      <c r="R42" s="248"/>
      <c r="S42" s="236"/>
      <c r="T42" s="1"/>
    </row>
    <row r="43" spans="1:20" x14ac:dyDescent="0.25">
      <c r="A43" s="1"/>
      <c r="B43" s="3"/>
      <c r="C43" s="3"/>
      <c r="D43" s="3"/>
      <c r="E43" s="3"/>
      <c r="F43" s="3"/>
      <c r="G43" s="3"/>
      <c r="H43" s="3"/>
      <c r="I43" s="3"/>
      <c r="J43" s="1"/>
      <c r="K43" s="1"/>
      <c r="L43" s="235"/>
      <c r="M43" s="248"/>
      <c r="N43" s="248"/>
      <c r="O43" s="248"/>
      <c r="P43" s="248"/>
      <c r="Q43" s="248"/>
      <c r="R43" s="248"/>
      <c r="S43" s="236"/>
      <c r="T43" s="1"/>
    </row>
    <row r="44" spans="1:20" x14ac:dyDescent="0.25">
      <c r="A44" s="1"/>
      <c r="B44" s="3"/>
      <c r="C44" s="3"/>
      <c r="D44" s="3"/>
      <c r="E44" s="3"/>
      <c r="F44" s="3"/>
      <c r="G44" s="3"/>
      <c r="H44" s="3"/>
      <c r="I44" s="3"/>
      <c r="J44" s="1"/>
      <c r="K44" s="1"/>
      <c r="L44" s="235"/>
      <c r="M44" s="248"/>
      <c r="N44" s="248"/>
      <c r="O44" s="248"/>
      <c r="P44" s="248"/>
      <c r="Q44" s="248"/>
      <c r="R44" s="248"/>
      <c r="S44" s="236"/>
      <c r="T44" s="1"/>
    </row>
    <row r="45" spans="1:20" x14ac:dyDescent="0.25">
      <c r="A45" s="1"/>
      <c r="B45" s="3"/>
      <c r="C45" s="3"/>
      <c r="D45" s="3"/>
      <c r="E45" s="3"/>
      <c r="F45" s="3"/>
      <c r="G45" s="3"/>
      <c r="H45" s="3"/>
      <c r="I45" s="3"/>
      <c r="J45" s="1"/>
      <c r="K45" s="1"/>
      <c r="L45" s="235"/>
      <c r="M45" s="248"/>
      <c r="N45" s="248"/>
      <c r="O45" s="248"/>
      <c r="P45" s="248"/>
      <c r="Q45" s="248"/>
      <c r="R45" s="248"/>
      <c r="S45" s="236"/>
      <c r="T45" s="1"/>
    </row>
    <row r="46" spans="1:20" x14ac:dyDescent="0.25">
      <c r="A46" s="1"/>
      <c r="B46" s="3"/>
      <c r="C46" s="3"/>
      <c r="D46" s="3"/>
      <c r="E46" s="3"/>
      <c r="F46" s="3"/>
      <c r="G46" s="3"/>
      <c r="H46" s="3"/>
      <c r="I46" s="3"/>
      <c r="J46" s="1"/>
      <c r="K46" s="1"/>
      <c r="L46" s="265"/>
      <c r="M46" s="266"/>
      <c r="N46" s="266"/>
      <c r="O46" s="266"/>
      <c r="P46" s="266"/>
      <c r="Q46" s="266"/>
      <c r="R46" s="266"/>
      <c r="S46" s="267"/>
      <c r="T46" s="1"/>
    </row>
    <row r="47" spans="1:20" x14ac:dyDescent="0.25">
      <c r="A47" s="1"/>
      <c r="B47" s="3"/>
      <c r="C47" s="3"/>
      <c r="D47" s="3"/>
      <c r="E47" s="3"/>
      <c r="F47" s="3"/>
      <c r="G47" s="3"/>
      <c r="H47" s="3"/>
      <c r="I47" s="3"/>
      <c r="J47" s="1"/>
      <c r="K47" s="1"/>
      <c r="L47" s="3"/>
      <c r="M47" s="3"/>
      <c r="N47" s="3"/>
      <c r="O47" s="3"/>
      <c r="P47" s="3"/>
      <c r="Q47" s="3"/>
      <c r="R47" s="3"/>
      <c r="S47" s="3"/>
      <c r="T47" s="1"/>
    </row>
    <row r="48" spans="1:20" x14ac:dyDescent="0.25">
      <c r="A48" s="1"/>
      <c r="B48" s="3"/>
      <c r="C48" s="3"/>
      <c r="D48" s="3"/>
      <c r="E48" s="3"/>
      <c r="F48" s="3"/>
      <c r="G48" s="3"/>
      <c r="H48" s="3"/>
      <c r="I48" s="3"/>
      <c r="J48" s="1"/>
      <c r="K48" s="1"/>
      <c r="L48" s="3"/>
      <c r="M48" s="3"/>
      <c r="N48" s="3"/>
      <c r="O48" s="3"/>
      <c r="P48" s="3"/>
      <c r="Q48" s="3"/>
      <c r="R48" s="3"/>
      <c r="S48" s="3"/>
      <c r="T48" s="1"/>
    </row>
    <row r="49" spans="1:20" x14ac:dyDescent="0.25">
      <c r="A49" s="1"/>
      <c r="B49" s="3"/>
      <c r="C49" s="3"/>
      <c r="D49" s="3"/>
      <c r="E49" s="3"/>
      <c r="F49" s="3"/>
      <c r="G49" s="3"/>
      <c r="H49" s="3"/>
      <c r="I49" s="3"/>
      <c r="J49" s="1"/>
      <c r="K49" s="1"/>
      <c r="L49" s="3"/>
      <c r="M49" s="3"/>
      <c r="N49" s="3"/>
      <c r="O49" s="3"/>
      <c r="P49" s="3"/>
      <c r="Q49" s="3"/>
      <c r="R49" s="3"/>
      <c r="S49" s="3"/>
      <c r="T49" s="1"/>
    </row>
    <row r="50" spans="1:20" x14ac:dyDescent="0.25">
      <c r="A50" s="1"/>
      <c r="B50" s="308" t="s">
        <v>136</v>
      </c>
      <c r="C50" s="308"/>
      <c r="D50" s="308"/>
      <c r="E50" s="308"/>
      <c r="F50" s="308"/>
      <c r="G50" s="308"/>
      <c r="H50" s="308"/>
      <c r="I50" s="308"/>
      <c r="J50" s="1"/>
      <c r="K50" s="1"/>
      <c r="L50" s="308" t="s">
        <v>136</v>
      </c>
      <c r="M50" s="308"/>
      <c r="N50" s="308"/>
      <c r="O50" s="308"/>
      <c r="P50" s="308"/>
      <c r="Q50" s="308"/>
      <c r="R50" s="308"/>
      <c r="S50" s="308"/>
      <c r="T50" s="1"/>
    </row>
  </sheetData>
  <mergeCells count="12">
    <mergeCell ref="Q1:S4"/>
    <mergeCell ref="L6:S7"/>
    <mergeCell ref="L50:S50"/>
    <mergeCell ref="B50:I50"/>
    <mergeCell ref="F16:H16"/>
    <mergeCell ref="F17:H17"/>
    <mergeCell ref="B22:C22"/>
    <mergeCell ref="G1:I4"/>
    <mergeCell ref="B6:I7"/>
    <mergeCell ref="B9:I9"/>
    <mergeCell ref="B12:I12"/>
    <mergeCell ref="G15:I15"/>
  </mergeCells>
  <conditionalFormatting sqref="H23:H37">
    <cfRule type="dataBar" priority="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{77D595F8-4C5F-4247-8841-09A492529E76}</x14:id>
        </ext>
      </extLst>
    </cfRule>
  </conditionalFormatting>
  <conditionalFormatting sqref="R23:R37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{155DD5DE-1E18-4FD9-9CDE-05E7738D5144}</x14:id>
        </ext>
      </extLst>
    </cfRule>
  </conditionalFormatting>
  <pageMargins left="0.7" right="0.7" top="0.78740157499999996" bottom="0.78740157499999996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D595F8-4C5F-4247-8841-09A492529E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H23:H37</xm:sqref>
        </x14:conditionalFormatting>
        <x14:conditionalFormatting xmlns:xm="http://schemas.microsoft.com/office/excel/2006/main">
          <x14:cfRule type="dataBar" id="{155DD5DE-1E18-4FD9-9CDE-05E7738D51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R23:R37</xm:sqref>
        </x14:conditionalFormatting>
        <x14:conditionalFormatting xmlns:xm="http://schemas.microsoft.com/office/excel/2006/main">
          <x14:cfRule type="iconSet" priority="100" id="{B28A5DF2-3018-46FD-A553-7ADFEDD9120F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I23:I36</xm:sqref>
        </x14:conditionalFormatting>
        <x14:conditionalFormatting xmlns:xm="http://schemas.microsoft.com/office/excel/2006/main">
          <x14:cfRule type="iconSet" priority="2" id="{BCFED65D-B30A-43FF-BCF1-DAF4396E3B58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S23:S36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3" tint="0.59999389629810485"/>
  </sheetPr>
  <dimension ref="A1:T50"/>
  <sheetViews>
    <sheetView zoomScale="80" zoomScaleNormal="80" workbookViewId="0">
      <selection activeCell="B9" sqref="B9:I9"/>
    </sheetView>
  </sheetViews>
  <sheetFormatPr baseColWidth="10" defaultRowHeight="15" x14ac:dyDescent="0.25"/>
  <cols>
    <col min="1" max="1" width="4.7109375" style="1" customWidth="1"/>
    <col min="2" max="9" width="11.42578125" style="1"/>
    <col min="10" max="11" width="4.7109375" style="1" customWidth="1"/>
    <col min="12" max="19" width="11.42578125" style="1"/>
    <col min="20" max="20" width="4.7109375" style="1" customWidth="1"/>
    <col min="21" max="16384" width="11.42578125" style="1"/>
  </cols>
  <sheetData>
    <row r="1" spans="1:20" ht="15" customHeight="1" x14ac:dyDescent="0.25">
      <c r="A1" s="295"/>
      <c r="B1" s="3"/>
      <c r="C1" s="3"/>
      <c r="D1" s="3"/>
      <c r="E1" s="3"/>
      <c r="F1" s="3"/>
      <c r="G1" s="321" t="s">
        <v>0</v>
      </c>
      <c r="H1" s="322"/>
      <c r="I1" s="322"/>
      <c r="J1" s="294"/>
      <c r="K1" s="294"/>
      <c r="L1" s="13"/>
      <c r="M1" s="13"/>
      <c r="N1" s="13"/>
      <c r="O1" s="13"/>
      <c r="P1" s="13"/>
      <c r="Q1" s="321" t="s">
        <v>0</v>
      </c>
      <c r="R1" s="322"/>
      <c r="S1" s="322"/>
      <c r="T1" s="294"/>
    </row>
    <row r="2" spans="1:20" x14ac:dyDescent="0.25">
      <c r="A2" s="295"/>
      <c r="B2" s="3"/>
      <c r="C2" s="3"/>
      <c r="D2" s="3"/>
      <c r="E2" s="3"/>
      <c r="F2" s="3"/>
      <c r="G2" s="322"/>
      <c r="H2" s="322"/>
      <c r="I2" s="322"/>
      <c r="J2" s="294"/>
      <c r="K2" s="294"/>
      <c r="L2" s="13"/>
      <c r="M2" s="13"/>
      <c r="N2" s="13"/>
      <c r="O2" s="13"/>
      <c r="P2" s="13"/>
      <c r="Q2" s="322"/>
      <c r="R2" s="322"/>
      <c r="S2" s="322"/>
      <c r="T2" s="294"/>
    </row>
    <row r="3" spans="1:20" x14ac:dyDescent="0.25">
      <c r="A3" s="295"/>
      <c r="B3" s="3"/>
      <c r="C3" s="3"/>
      <c r="D3" s="3"/>
      <c r="E3" s="3"/>
      <c r="F3" s="3"/>
      <c r="G3" s="322"/>
      <c r="H3" s="322"/>
      <c r="I3" s="322"/>
      <c r="J3" s="294"/>
      <c r="K3" s="294"/>
      <c r="L3" s="13"/>
      <c r="M3" s="13"/>
      <c r="N3" s="13"/>
      <c r="O3" s="13"/>
      <c r="P3" s="13"/>
      <c r="Q3" s="322"/>
      <c r="R3" s="322"/>
      <c r="S3" s="322"/>
      <c r="T3" s="294"/>
    </row>
    <row r="4" spans="1:20" x14ac:dyDescent="0.25">
      <c r="A4" s="295"/>
      <c r="B4" s="2"/>
      <c r="C4" s="2"/>
      <c r="D4" s="2"/>
      <c r="E4" s="2"/>
      <c r="F4" s="2"/>
      <c r="G4" s="323"/>
      <c r="H4" s="323"/>
      <c r="I4" s="323"/>
      <c r="J4" s="294"/>
      <c r="K4" s="294"/>
      <c r="L4" s="2"/>
      <c r="M4" s="2"/>
      <c r="N4" s="2"/>
      <c r="O4" s="2"/>
      <c r="P4" s="2"/>
      <c r="Q4" s="323"/>
      <c r="R4" s="323"/>
      <c r="S4" s="323"/>
      <c r="T4" s="294"/>
    </row>
    <row r="5" spans="1:20" x14ac:dyDescent="0.25">
      <c r="A5" s="295"/>
      <c r="B5" s="3"/>
      <c r="C5" s="3"/>
      <c r="D5" s="3"/>
      <c r="E5" s="3"/>
      <c r="F5" s="3"/>
      <c r="G5" s="3"/>
      <c r="H5" s="3"/>
      <c r="I5" s="3"/>
      <c r="J5" s="294"/>
      <c r="K5" s="294"/>
      <c r="L5" s="13"/>
      <c r="M5" s="13"/>
      <c r="N5" s="13"/>
      <c r="O5" s="13"/>
      <c r="P5" s="13"/>
      <c r="Q5" s="13"/>
      <c r="R5" s="13"/>
      <c r="S5" s="13"/>
      <c r="T5" s="294"/>
    </row>
    <row r="6" spans="1:20" ht="15" customHeight="1" x14ac:dyDescent="0.25">
      <c r="A6" s="295"/>
      <c r="B6" s="307" t="s">
        <v>173</v>
      </c>
      <c r="C6" s="307"/>
      <c r="D6" s="307"/>
      <c r="E6" s="307"/>
      <c r="F6" s="307"/>
      <c r="G6" s="307"/>
      <c r="H6" s="307"/>
      <c r="I6" s="307"/>
      <c r="J6" s="294"/>
      <c r="K6" s="294"/>
      <c r="L6" s="350" t="s">
        <v>173</v>
      </c>
      <c r="M6" s="350"/>
      <c r="N6" s="350"/>
      <c r="O6" s="350"/>
      <c r="P6" s="350"/>
      <c r="Q6" s="350"/>
      <c r="R6" s="350"/>
      <c r="S6" s="350"/>
      <c r="T6" s="294"/>
    </row>
    <row r="7" spans="1:20" ht="15" customHeight="1" x14ac:dyDescent="0.25">
      <c r="A7" s="295"/>
      <c r="B7" s="307"/>
      <c r="C7" s="307"/>
      <c r="D7" s="307"/>
      <c r="E7" s="307"/>
      <c r="F7" s="307"/>
      <c r="G7" s="307"/>
      <c r="H7" s="307"/>
      <c r="I7" s="307"/>
      <c r="J7" s="294"/>
      <c r="K7" s="294"/>
      <c r="L7" s="350"/>
      <c r="M7" s="350"/>
      <c r="N7" s="350"/>
      <c r="O7" s="350"/>
      <c r="P7" s="350"/>
      <c r="Q7" s="350"/>
      <c r="R7" s="350"/>
      <c r="S7" s="350"/>
      <c r="T7" s="294"/>
    </row>
    <row r="8" spans="1:20" x14ac:dyDescent="0.25">
      <c r="A8" s="295"/>
      <c r="B8" s="3"/>
      <c r="C8" s="3"/>
      <c r="D8" s="3"/>
      <c r="E8" s="3"/>
      <c r="F8" s="3"/>
      <c r="G8" s="3"/>
      <c r="H8" s="3"/>
      <c r="I8" s="3"/>
      <c r="J8" s="294"/>
      <c r="K8" s="294"/>
      <c r="L8" s="13"/>
      <c r="M8" s="13"/>
      <c r="N8" s="13"/>
      <c r="O8" s="13"/>
      <c r="P8" s="13"/>
      <c r="Q8" s="13"/>
      <c r="R8" s="13"/>
      <c r="S8" s="13"/>
      <c r="T8" s="294"/>
    </row>
    <row r="9" spans="1:20" x14ac:dyDescent="0.25">
      <c r="A9" s="295"/>
      <c r="B9" s="324" t="s">
        <v>130</v>
      </c>
      <c r="C9" s="324"/>
      <c r="D9" s="324"/>
      <c r="E9" s="324"/>
      <c r="F9" s="324"/>
      <c r="G9" s="324"/>
      <c r="H9" s="324"/>
      <c r="I9" s="324"/>
      <c r="J9" s="294"/>
      <c r="K9" s="294"/>
      <c r="L9" s="256" t="s">
        <v>174</v>
      </c>
      <c r="M9" s="254"/>
      <c r="N9" s="254"/>
      <c r="O9" s="254"/>
      <c r="P9" s="254"/>
      <c r="Q9" s="254"/>
      <c r="R9" s="254"/>
      <c r="S9" s="254"/>
      <c r="T9" s="294"/>
    </row>
    <row r="10" spans="1:20" x14ac:dyDescent="0.25">
      <c r="A10" s="295"/>
      <c r="B10" s="3"/>
      <c r="C10" s="3"/>
      <c r="D10" s="3"/>
      <c r="E10" s="3"/>
      <c r="F10" s="3"/>
      <c r="G10" s="3"/>
      <c r="H10" s="3"/>
      <c r="I10" s="3"/>
      <c r="J10" s="294"/>
      <c r="K10" s="294"/>
      <c r="L10" s="13"/>
      <c r="M10" s="13"/>
      <c r="N10" s="13"/>
      <c r="O10" s="13"/>
      <c r="P10" s="13"/>
      <c r="Q10" s="13"/>
      <c r="R10" s="13"/>
      <c r="S10" s="13"/>
      <c r="T10" s="294"/>
    </row>
    <row r="11" spans="1:20" ht="15.75" thickBot="1" x14ac:dyDescent="0.3">
      <c r="A11" s="295"/>
      <c r="B11" s="3"/>
      <c r="C11" s="3"/>
      <c r="D11" s="3"/>
      <c r="E11" s="3"/>
      <c r="F11" s="3"/>
      <c r="G11" s="3"/>
      <c r="H11" s="3"/>
      <c r="I11" s="3"/>
      <c r="J11" s="294"/>
      <c r="K11" s="294"/>
      <c r="L11" s="257"/>
      <c r="M11" s="258"/>
      <c r="N11" s="258"/>
      <c r="O11" s="258"/>
      <c r="P11" s="258"/>
      <c r="Q11" s="258"/>
      <c r="R11" s="258"/>
      <c r="S11" s="259"/>
      <c r="T11" s="294"/>
    </row>
    <row r="12" spans="1:20" ht="15.75" thickBot="1" x14ac:dyDescent="0.3">
      <c r="A12" s="295"/>
      <c r="B12" s="325" t="s">
        <v>1</v>
      </c>
      <c r="C12" s="326"/>
      <c r="D12" s="326"/>
      <c r="E12" s="326"/>
      <c r="F12" s="326"/>
      <c r="G12" s="326"/>
      <c r="H12" s="326"/>
      <c r="I12" s="327"/>
      <c r="J12" s="294"/>
      <c r="K12" s="294"/>
      <c r="L12" s="260"/>
      <c r="M12" s="255"/>
      <c r="N12" s="255"/>
      <c r="O12" s="255"/>
      <c r="P12" s="255"/>
      <c r="Q12" s="255"/>
      <c r="R12" s="255"/>
      <c r="S12" s="261"/>
      <c r="T12" s="294"/>
    </row>
    <row r="13" spans="1:20" x14ac:dyDescent="0.25">
      <c r="A13" s="295"/>
      <c r="B13" s="4"/>
      <c r="C13" s="4"/>
      <c r="D13" s="4"/>
      <c r="E13" s="4"/>
      <c r="F13" s="4"/>
      <c r="G13" s="4"/>
      <c r="H13" s="4"/>
      <c r="I13" s="4"/>
      <c r="J13" s="294"/>
      <c r="K13" s="294"/>
      <c r="L13" s="237"/>
      <c r="M13" s="238"/>
      <c r="N13" s="238"/>
      <c r="O13" s="238"/>
      <c r="P13" s="238"/>
      <c r="Q13" s="238"/>
      <c r="R13" s="238"/>
      <c r="S13" s="239"/>
      <c r="T13" s="294"/>
    </row>
    <row r="14" spans="1:20" x14ac:dyDescent="0.25">
      <c r="A14" s="295"/>
      <c r="B14" s="3"/>
      <c r="C14" s="3"/>
      <c r="D14" s="3"/>
      <c r="E14" s="3"/>
      <c r="F14" s="3"/>
      <c r="G14" s="3"/>
      <c r="H14" s="3"/>
      <c r="I14" s="3"/>
      <c r="J14" s="294"/>
      <c r="K14" s="294"/>
      <c r="L14" s="235"/>
      <c r="M14" s="13"/>
      <c r="N14" s="13"/>
      <c r="O14" s="13"/>
      <c r="P14" s="13"/>
      <c r="Q14" s="13"/>
      <c r="R14" s="13"/>
      <c r="S14" s="236"/>
      <c r="T14" s="294"/>
    </row>
    <row r="15" spans="1:20" x14ac:dyDescent="0.25">
      <c r="A15" s="295"/>
      <c r="B15" s="215" t="s">
        <v>179</v>
      </c>
      <c r="C15" s="13"/>
      <c r="D15" s="13"/>
      <c r="E15" s="216"/>
      <c r="F15" s="13"/>
      <c r="G15" s="342"/>
      <c r="H15" s="342"/>
      <c r="I15" s="342"/>
      <c r="J15" s="294"/>
      <c r="K15" s="294"/>
      <c r="L15" s="240"/>
      <c r="M15" s="13"/>
      <c r="N15" s="13"/>
      <c r="O15" s="216"/>
      <c r="P15" s="13"/>
      <c r="Q15" s="342"/>
      <c r="R15" s="342"/>
      <c r="S15" s="351"/>
      <c r="T15" s="294"/>
    </row>
    <row r="16" spans="1:20" x14ac:dyDescent="0.25">
      <c r="A16" s="295"/>
      <c r="B16" s="13"/>
      <c r="C16" s="13"/>
      <c r="D16" s="13"/>
      <c r="E16" s="216"/>
      <c r="F16" s="352"/>
      <c r="G16" s="352"/>
      <c r="H16" s="352"/>
      <c r="I16" s="225"/>
      <c r="J16" s="294"/>
      <c r="K16" s="294"/>
      <c r="L16" s="235"/>
      <c r="M16" s="13"/>
      <c r="N16" s="13"/>
      <c r="O16" s="216"/>
      <c r="P16" s="352"/>
      <c r="Q16" s="352"/>
      <c r="R16" s="352"/>
      <c r="S16" s="241"/>
      <c r="T16" s="294"/>
    </row>
    <row r="17" spans="1:20" ht="15.75" thickBot="1" x14ac:dyDescent="0.3">
      <c r="A17" s="295"/>
      <c r="B17" s="269" t="s">
        <v>175</v>
      </c>
      <c r="C17" s="356"/>
      <c r="D17" s="357"/>
      <c r="E17" s="357"/>
      <c r="F17" s="357"/>
      <c r="G17" s="357"/>
      <c r="H17" s="358"/>
      <c r="I17" s="268" t="s">
        <v>61</v>
      </c>
      <c r="J17" s="294"/>
      <c r="K17" s="294"/>
      <c r="L17" s="235"/>
      <c r="M17" s="13"/>
      <c r="N17" s="13"/>
      <c r="O17" s="216"/>
      <c r="P17" s="353"/>
      <c r="Q17" s="353"/>
      <c r="R17" s="353"/>
      <c r="S17" s="242"/>
      <c r="T17" s="294"/>
    </row>
    <row r="18" spans="1:20" x14ac:dyDescent="0.25">
      <c r="A18" s="295"/>
      <c r="B18" s="13"/>
      <c r="C18" s="13"/>
      <c r="D18" s="13"/>
      <c r="E18" s="216"/>
      <c r="F18" s="217"/>
      <c r="G18" s="226"/>
      <c r="H18" s="226"/>
      <c r="I18" s="226"/>
      <c r="J18" s="294"/>
      <c r="K18" s="294"/>
      <c r="L18" s="235"/>
      <c r="M18" s="13"/>
      <c r="N18" s="13"/>
      <c r="O18" s="216"/>
      <c r="P18" s="217"/>
      <c r="Q18" s="226"/>
      <c r="R18" s="226"/>
      <c r="S18" s="242"/>
      <c r="T18" s="294"/>
    </row>
    <row r="19" spans="1:20" x14ac:dyDescent="0.25">
      <c r="A19" s="295"/>
      <c r="B19" s="215"/>
      <c r="C19" s="13"/>
      <c r="D19" s="13"/>
      <c r="E19" s="13"/>
      <c r="F19" s="13"/>
      <c r="G19" s="13"/>
      <c r="H19" s="13"/>
      <c r="I19" s="13"/>
      <c r="J19" s="294"/>
      <c r="K19" s="294"/>
      <c r="L19" s="240"/>
      <c r="M19" s="13"/>
      <c r="N19" s="13"/>
      <c r="O19" s="13"/>
      <c r="P19" s="13"/>
      <c r="Q19" s="13"/>
      <c r="R19" s="13"/>
      <c r="S19" s="236"/>
      <c r="T19" s="294"/>
    </row>
    <row r="20" spans="1:20" x14ac:dyDescent="0.25">
      <c r="A20" s="295"/>
      <c r="B20" s="215"/>
      <c r="C20" s="13"/>
      <c r="D20" s="13"/>
      <c r="E20" s="13"/>
      <c r="F20" s="13"/>
      <c r="G20" s="13"/>
      <c r="H20" s="13"/>
      <c r="I20" s="13"/>
      <c r="J20" s="294"/>
      <c r="K20" s="294"/>
      <c r="L20" s="240"/>
      <c r="M20" s="13"/>
      <c r="N20" s="13"/>
      <c r="O20" s="13"/>
      <c r="P20" s="13"/>
      <c r="Q20" s="13"/>
      <c r="R20" s="13"/>
      <c r="S20" s="236"/>
      <c r="T20" s="294"/>
    </row>
    <row r="21" spans="1:20" x14ac:dyDescent="0.25">
      <c r="A21" s="295"/>
      <c r="B21" s="215" t="s">
        <v>180</v>
      </c>
      <c r="C21" s="13"/>
      <c r="D21" s="13"/>
      <c r="E21" s="13"/>
      <c r="F21" s="13"/>
      <c r="G21" s="13"/>
      <c r="H21" s="13"/>
      <c r="I21" s="13"/>
      <c r="J21" s="294"/>
      <c r="K21" s="294"/>
      <c r="L21" s="235"/>
      <c r="M21" s="13"/>
      <c r="N21" s="13"/>
      <c r="O21" s="13"/>
      <c r="P21" s="13"/>
      <c r="Q21" s="13"/>
      <c r="R21" s="13"/>
      <c r="S21" s="236"/>
      <c r="T21" s="294"/>
    </row>
    <row r="22" spans="1:20" x14ac:dyDescent="0.25">
      <c r="A22" s="295"/>
      <c r="B22" s="224"/>
      <c r="C22" s="224"/>
      <c r="D22" s="220"/>
      <c r="E22" s="220"/>
      <c r="F22" s="220"/>
      <c r="G22" s="220"/>
      <c r="H22" s="220"/>
      <c r="I22" s="220"/>
      <c r="J22" s="294"/>
      <c r="K22" s="294"/>
      <c r="L22" s="354"/>
      <c r="M22" s="349"/>
      <c r="N22" s="220"/>
      <c r="O22" s="220"/>
      <c r="P22" s="220"/>
      <c r="Q22" s="220"/>
      <c r="R22" s="220"/>
      <c r="S22" s="243"/>
      <c r="T22" s="294"/>
    </row>
    <row r="23" spans="1:20" x14ac:dyDescent="0.25">
      <c r="A23" s="295"/>
      <c r="B23" s="289" t="s">
        <v>181</v>
      </c>
      <c r="C23" s="290"/>
      <c r="D23" s="291"/>
      <c r="E23" s="218"/>
      <c r="F23" s="218"/>
      <c r="G23" s="218"/>
      <c r="H23" s="219"/>
      <c r="I23" s="3"/>
      <c r="J23" s="294"/>
      <c r="K23" s="294"/>
      <c r="L23" s="244"/>
      <c r="M23" s="223"/>
      <c r="N23" s="218"/>
      <c r="O23" s="218"/>
      <c r="P23" s="218"/>
      <c r="Q23" s="218"/>
      <c r="R23" s="219"/>
      <c r="S23" s="245"/>
      <c r="T23" s="294"/>
    </row>
    <row r="24" spans="1:20" ht="15.75" thickBot="1" x14ac:dyDescent="0.3">
      <c r="A24" s="295"/>
      <c r="B24" s="356"/>
      <c r="C24" s="359"/>
      <c r="D24" s="359"/>
      <c r="E24" s="359"/>
      <c r="F24" s="359"/>
      <c r="G24" s="359"/>
      <c r="H24" s="360"/>
      <c r="I24" s="184" t="s">
        <v>61</v>
      </c>
      <c r="J24" s="294"/>
      <c r="K24" s="294"/>
      <c r="L24" s="246"/>
      <c r="M24" s="223"/>
      <c r="N24" s="218"/>
      <c r="O24" s="218"/>
      <c r="P24" s="218"/>
      <c r="Q24" s="218"/>
      <c r="R24" s="219"/>
      <c r="S24" s="245"/>
      <c r="T24" s="294"/>
    </row>
    <row r="25" spans="1:20" ht="15.75" thickBot="1" x14ac:dyDescent="0.3">
      <c r="A25" s="295"/>
      <c r="B25" s="223"/>
      <c r="C25" s="231"/>
      <c r="D25" s="218"/>
      <c r="E25" s="218"/>
      <c r="F25" s="218"/>
      <c r="G25" s="218"/>
      <c r="H25" s="219"/>
      <c r="I25" s="218"/>
      <c r="J25" s="294"/>
      <c r="K25" s="294"/>
      <c r="L25" s="244"/>
      <c r="M25" s="231"/>
      <c r="N25" s="218"/>
      <c r="O25" s="218"/>
      <c r="P25" s="218"/>
      <c r="Q25" s="218"/>
      <c r="R25" s="219"/>
      <c r="S25" s="245"/>
      <c r="T25" s="294"/>
    </row>
    <row r="26" spans="1:20" ht="15.75" thickBot="1" x14ac:dyDescent="0.3">
      <c r="A26" s="295"/>
      <c r="B26" s="276" t="s">
        <v>190</v>
      </c>
      <c r="C26" s="277"/>
      <c r="D26" s="278"/>
      <c r="E26" s="274"/>
      <c r="F26" s="274"/>
      <c r="G26" s="274"/>
      <c r="H26" s="275"/>
      <c r="I26" s="274"/>
      <c r="J26" s="294"/>
      <c r="K26" s="294"/>
      <c r="L26" s="244"/>
      <c r="M26" s="231"/>
      <c r="N26" s="218"/>
      <c r="O26" s="218"/>
      <c r="P26" s="218"/>
      <c r="Q26" s="218"/>
      <c r="R26" s="219"/>
      <c r="S26" s="245"/>
      <c r="T26" s="294"/>
    </row>
    <row r="27" spans="1:20" ht="15.75" thickBot="1" x14ac:dyDescent="0.3">
      <c r="A27" s="295"/>
      <c r="B27" s="270" t="s">
        <v>182</v>
      </c>
      <c r="C27" s="272" t="s">
        <v>183</v>
      </c>
      <c r="D27" s="273" t="s">
        <v>185</v>
      </c>
      <c r="E27" s="271" t="s">
        <v>184</v>
      </c>
      <c r="F27" s="271" t="s">
        <v>186</v>
      </c>
      <c r="G27" s="271" t="s">
        <v>187</v>
      </c>
      <c r="H27" s="292" t="s">
        <v>188</v>
      </c>
      <c r="I27" s="293"/>
      <c r="J27" s="294"/>
      <c r="K27" s="294"/>
      <c r="L27" s="244"/>
      <c r="M27" s="223"/>
      <c r="N27" s="218"/>
      <c r="O27" s="218"/>
      <c r="P27" s="218"/>
      <c r="Q27" s="218"/>
      <c r="R27" s="219"/>
      <c r="S27" s="245"/>
      <c r="T27" s="294"/>
    </row>
    <row r="28" spans="1:20" ht="15.75" thickBot="1" x14ac:dyDescent="0.3">
      <c r="A28" s="295"/>
      <c r="B28" s="279" t="s">
        <v>223</v>
      </c>
      <c r="C28" s="280" t="s">
        <v>47</v>
      </c>
      <c r="D28" s="304"/>
      <c r="E28" s="305"/>
      <c r="F28" s="305"/>
      <c r="G28" s="305"/>
      <c r="H28" s="306"/>
      <c r="I28" s="184" t="s">
        <v>61</v>
      </c>
      <c r="J28" s="294"/>
      <c r="K28" s="294"/>
      <c r="L28" s="244"/>
      <c r="M28" s="223"/>
      <c r="N28" s="218"/>
      <c r="O28" s="218"/>
      <c r="P28" s="218"/>
      <c r="Q28" s="218"/>
      <c r="R28" s="219"/>
      <c r="S28" s="245"/>
      <c r="T28" s="294"/>
    </row>
    <row r="29" spans="1:20" ht="15.75" thickBot="1" x14ac:dyDescent="0.3">
      <c r="A29" s="295"/>
      <c r="B29" s="279"/>
      <c r="C29" s="280"/>
      <c r="D29" s="304"/>
      <c r="E29" s="305"/>
      <c r="F29" s="305"/>
      <c r="G29" s="305"/>
      <c r="H29" s="306"/>
      <c r="I29" s="184" t="s">
        <v>61</v>
      </c>
      <c r="J29" s="294"/>
      <c r="K29" s="294"/>
      <c r="L29" s="244"/>
      <c r="M29" s="223"/>
      <c r="N29" s="218"/>
      <c r="O29" s="218"/>
      <c r="P29" s="218"/>
      <c r="Q29" s="218"/>
      <c r="R29" s="219"/>
      <c r="S29" s="245"/>
      <c r="T29" s="294"/>
    </row>
    <row r="30" spans="1:20" ht="15.75" thickBot="1" x14ac:dyDescent="0.3">
      <c r="A30" s="295"/>
      <c r="B30" s="281"/>
      <c r="C30" s="280"/>
      <c r="D30" s="296"/>
      <c r="E30" s="297"/>
      <c r="F30" s="297"/>
      <c r="G30" s="297"/>
      <c r="H30" s="298"/>
      <c r="I30" s="184" t="s">
        <v>61</v>
      </c>
      <c r="J30" s="294"/>
      <c r="K30" s="294"/>
      <c r="L30" s="246"/>
      <c r="M30" s="223"/>
      <c r="N30" s="218"/>
      <c r="O30" s="218"/>
      <c r="P30" s="218"/>
      <c r="Q30" s="218"/>
      <c r="R30" s="219"/>
      <c r="S30" s="245"/>
      <c r="T30" s="294"/>
    </row>
    <row r="31" spans="1:20" ht="15.75" thickBot="1" x14ac:dyDescent="0.3">
      <c r="A31" s="295"/>
      <c r="B31" s="279"/>
      <c r="C31" s="280"/>
      <c r="D31" s="296"/>
      <c r="E31" s="297"/>
      <c r="F31" s="297"/>
      <c r="G31" s="297"/>
      <c r="H31" s="298"/>
      <c r="I31" s="184" t="s">
        <v>61</v>
      </c>
      <c r="J31" s="294"/>
      <c r="K31" s="294"/>
      <c r="L31" s="244"/>
      <c r="M31" s="231"/>
      <c r="N31" s="218"/>
      <c r="O31" s="218"/>
      <c r="P31" s="218"/>
      <c r="Q31" s="218"/>
      <c r="R31" s="219"/>
      <c r="S31" s="245"/>
      <c r="T31" s="294"/>
    </row>
    <row r="32" spans="1:20" ht="15.75" thickBot="1" x14ac:dyDescent="0.3">
      <c r="A32" s="295"/>
      <c r="B32" s="282"/>
      <c r="C32" s="283"/>
      <c r="D32" s="296"/>
      <c r="E32" s="297"/>
      <c r="F32" s="297"/>
      <c r="G32" s="297"/>
      <c r="H32" s="297"/>
      <c r="I32" s="184" t="s">
        <v>61</v>
      </c>
      <c r="J32" s="294"/>
      <c r="K32" s="294"/>
      <c r="L32" s="262"/>
      <c r="M32" s="217"/>
      <c r="N32" s="218"/>
      <c r="O32" s="218"/>
      <c r="P32" s="218"/>
      <c r="Q32" s="218"/>
      <c r="R32" s="218"/>
      <c r="S32" s="245"/>
      <c r="T32" s="294"/>
    </row>
    <row r="33" spans="1:20" ht="15.75" thickBot="1" x14ac:dyDescent="0.3">
      <c r="A33" s="295"/>
      <c r="B33" s="282"/>
      <c r="C33" s="283"/>
      <c r="D33" s="296"/>
      <c r="E33" s="297"/>
      <c r="F33" s="297"/>
      <c r="G33" s="297"/>
      <c r="H33" s="297"/>
      <c r="I33" s="184" t="s">
        <v>61</v>
      </c>
      <c r="J33" s="294"/>
      <c r="K33" s="294"/>
      <c r="L33" s="262"/>
      <c r="M33" s="217"/>
      <c r="N33" s="218"/>
      <c r="O33" s="218"/>
      <c r="P33" s="218"/>
      <c r="Q33" s="218"/>
      <c r="R33" s="218"/>
      <c r="S33" s="245"/>
      <c r="T33" s="294"/>
    </row>
    <row r="34" spans="1:20" ht="15.75" thickBot="1" x14ac:dyDescent="0.3">
      <c r="A34" s="295"/>
      <c r="B34" s="282"/>
      <c r="C34" s="283"/>
      <c r="D34" s="296"/>
      <c r="E34" s="297"/>
      <c r="F34" s="297"/>
      <c r="G34" s="297"/>
      <c r="H34" s="297"/>
      <c r="I34" s="184" t="s">
        <v>61</v>
      </c>
      <c r="J34" s="294"/>
      <c r="K34" s="294"/>
      <c r="L34" s="262"/>
      <c r="M34" s="217"/>
      <c r="N34" s="218"/>
      <c r="O34" s="218"/>
      <c r="P34" s="218"/>
      <c r="Q34" s="218"/>
      <c r="R34" s="218"/>
      <c r="S34" s="245"/>
      <c r="T34" s="294"/>
    </row>
    <row r="35" spans="1:20" ht="15.75" thickBot="1" x14ac:dyDescent="0.3">
      <c r="A35" s="295"/>
      <c r="B35" s="284"/>
      <c r="C35" s="283"/>
      <c r="D35" s="296"/>
      <c r="E35" s="297"/>
      <c r="F35" s="297"/>
      <c r="G35" s="297"/>
      <c r="H35" s="297"/>
      <c r="I35" s="184" t="s">
        <v>61</v>
      </c>
      <c r="J35" s="294"/>
      <c r="K35" s="294"/>
      <c r="L35" s="262"/>
      <c r="M35" s="217"/>
      <c r="N35" s="218"/>
      <c r="O35" s="218"/>
      <c r="P35" s="218"/>
      <c r="Q35" s="218"/>
      <c r="R35" s="218"/>
      <c r="S35" s="245"/>
      <c r="T35" s="294"/>
    </row>
    <row r="36" spans="1:20" ht="15.75" thickBot="1" x14ac:dyDescent="0.3">
      <c r="A36" s="295"/>
      <c r="B36" s="282"/>
      <c r="C36" s="283"/>
      <c r="D36" s="296"/>
      <c r="E36" s="297"/>
      <c r="F36" s="297"/>
      <c r="G36" s="297"/>
      <c r="H36" s="297"/>
      <c r="I36" s="184" t="s">
        <v>61</v>
      </c>
      <c r="J36" s="294"/>
      <c r="K36" s="294"/>
      <c r="L36" s="262"/>
      <c r="M36" s="217"/>
      <c r="N36" s="218"/>
      <c r="O36" s="218"/>
      <c r="P36" s="218"/>
      <c r="Q36" s="218"/>
      <c r="R36" s="218"/>
      <c r="S36" s="245"/>
      <c r="T36" s="294"/>
    </row>
    <row r="37" spans="1:20" ht="15.75" thickBot="1" x14ac:dyDescent="0.3">
      <c r="A37" s="295"/>
      <c r="B37" s="284"/>
      <c r="C37" s="285"/>
      <c r="D37" s="299"/>
      <c r="E37" s="300"/>
      <c r="F37" s="300"/>
      <c r="G37" s="300"/>
      <c r="H37" s="301"/>
      <c r="I37" s="184" t="s">
        <v>61</v>
      </c>
      <c r="J37" s="294"/>
      <c r="K37" s="294"/>
      <c r="L37" s="263"/>
      <c r="M37" s="224"/>
      <c r="N37" s="220"/>
      <c r="O37" s="220"/>
      <c r="P37" s="220"/>
      <c r="Q37" s="220"/>
      <c r="R37" s="221"/>
      <c r="S37" s="243"/>
      <c r="T37" s="294"/>
    </row>
    <row r="38" spans="1:20" ht="15.75" thickBot="1" x14ac:dyDescent="0.3">
      <c r="A38" s="295"/>
      <c r="B38" s="282"/>
      <c r="C38" s="283"/>
      <c r="D38" s="296"/>
      <c r="E38" s="297"/>
      <c r="F38" s="297"/>
      <c r="G38" s="297"/>
      <c r="H38" s="297"/>
      <c r="I38" s="184" t="s">
        <v>61</v>
      </c>
      <c r="J38" s="294"/>
      <c r="K38" s="294"/>
      <c r="L38" s="235"/>
      <c r="M38" s="13"/>
      <c r="N38" s="13"/>
      <c r="O38" s="13"/>
      <c r="P38" s="13"/>
      <c r="Q38" s="13"/>
      <c r="R38" s="13"/>
      <c r="S38" s="236"/>
      <c r="T38" s="294"/>
    </row>
    <row r="39" spans="1:20" ht="15.75" thickBot="1" x14ac:dyDescent="0.3">
      <c r="A39" s="295"/>
      <c r="B39" s="284"/>
      <c r="C39" s="283"/>
      <c r="D39" s="296"/>
      <c r="E39" s="297"/>
      <c r="F39" s="297"/>
      <c r="G39" s="297"/>
      <c r="H39" s="297"/>
      <c r="I39" s="184" t="s">
        <v>61</v>
      </c>
      <c r="J39" s="294"/>
      <c r="K39" s="294"/>
      <c r="L39" s="264"/>
      <c r="M39" s="13"/>
      <c r="N39" s="13"/>
      <c r="O39" s="13"/>
      <c r="P39" s="13"/>
      <c r="Q39" s="13"/>
      <c r="R39" s="13"/>
      <c r="S39" s="236"/>
      <c r="T39" s="294"/>
    </row>
    <row r="40" spans="1:20" ht="15.75" thickBot="1" x14ac:dyDescent="0.3">
      <c r="A40" s="295"/>
      <c r="B40" s="286"/>
      <c r="C40" s="283"/>
      <c r="D40" s="296"/>
      <c r="E40" s="297"/>
      <c r="F40" s="297"/>
      <c r="G40" s="297"/>
      <c r="H40" s="297"/>
      <c r="I40" s="184" t="s">
        <v>61</v>
      </c>
      <c r="J40" s="294"/>
      <c r="K40" s="294"/>
      <c r="L40" s="176"/>
      <c r="M40" s="13"/>
      <c r="N40" s="13"/>
      <c r="O40" s="13"/>
      <c r="P40" s="13"/>
      <c r="Q40" s="13"/>
      <c r="R40" s="13"/>
      <c r="S40" s="236"/>
      <c r="T40" s="294"/>
    </row>
    <row r="41" spans="1:20" ht="15.75" thickBot="1" x14ac:dyDescent="0.3">
      <c r="A41" s="295"/>
      <c r="B41" s="282"/>
      <c r="C41" s="283"/>
      <c r="D41" s="296"/>
      <c r="E41" s="297"/>
      <c r="F41" s="297"/>
      <c r="G41" s="297"/>
      <c r="H41" s="297"/>
      <c r="I41" s="184" t="s">
        <v>61</v>
      </c>
      <c r="J41" s="294"/>
      <c r="K41" s="294"/>
      <c r="L41" s="235"/>
      <c r="M41" s="13"/>
      <c r="N41" s="13"/>
      <c r="O41" s="13"/>
      <c r="P41" s="13"/>
      <c r="Q41" s="13"/>
      <c r="R41" s="13"/>
      <c r="S41" s="236"/>
      <c r="T41" s="294"/>
    </row>
    <row r="42" spans="1:20" ht="15.75" thickBot="1" x14ac:dyDescent="0.3">
      <c r="A42" s="295"/>
      <c r="B42" s="282"/>
      <c r="C42" s="283"/>
      <c r="D42" s="296"/>
      <c r="E42" s="297"/>
      <c r="F42" s="297"/>
      <c r="G42" s="297"/>
      <c r="H42" s="297"/>
      <c r="I42" s="184" t="s">
        <v>61</v>
      </c>
      <c r="J42" s="294"/>
      <c r="K42" s="294"/>
      <c r="L42" s="235"/>
      <c r="M42" s="13"/>
      <c r="N42" s="13"/>
      <c r="O42" s="13"/>
      <c r="P42" s="13"/>
      <c r="Q42" s="13"/>
      <c r="R42" s="13"/>
      <c r="S42" s="236"/>
      <c r="T42" s="294"/>
    </row>
    <row r="43" spans="1:20" ht="15.75" thickBot="1" x14ac:dyDescent="0.3">
      <c r="A43" s="295"/>
      <c r="B43" s="282"/>
      <c r="C43" s="283"/>
      <c r="D43" s="296"/>
      <c r="E43" s="297"/>
      <c r="F43" s="297"/>
      <c r="G43" s="297"/>
      <c r="H43" s="297"/>
      <c r="I43" s="184" t="s">
        <v>61</v>
      </c>
      <c r="J43" s="294"/>
      <c r="K43" s="294"/>
      <c r="L43" s="235"/>
      <c r="M43" s="13"/>
      <c r="N43" s="13"/>
      <c r="O43" s="13"/>
      <c r="P43" s="13"/>
      <c r="Q43" s="13"/>
      <c r="R43" s="13"/>
      <c r="S43" s="236"/>
      <c r="T43" s="294"/>
    </row>
    <row r="44" spans="1:20" ht="15.75" thickBot="1" x14ac:dyDescent="0.3">
      <c r="A44" s="295"/>
      <c r="B44" s="282"/>
      <c r="C44" s="283"/>
      <c r="D44" s="296"/>
      <c r="E44" s="297"/>
      <c r="F44" s="297"/>
      <c r="G44" s="297"/>
      <c r="H44" s="297"/>
      <c r="I44" s="184" t="s">
        <v>61</v>
      </c>
      <c r="J44" s="294"/>
      <c r="K44" s="294"/>
      <c r="L44" s="235"/>
      <c r="M44" s="13"/>
      <c r="N44" s="13"/>
      <c r="O44" s="13"/>
      <c r="P44" s="13"/>
      <c r="Q44" s="13"/>
      <c r="R44" s="13"/>
      <c r="S44" s="236"/>
      <c r="T44" s="294"/>
    </row>
    <row r="45" spans="1:20" ht="15.75" thickBot="1" x14ac:dyDescent="0.3">
      <c r="A45" s="295"/>
      <c r="B45" s="287"/>
      <c r="C45" s="288"/>
      <c r="D45" s="302"/>
      <c r="E45" s="303"/>
      <c r="F45" s="303"/>
      <c r="G45" s="303"/>
      <c r="H45" s="303"/>
      <c r="I45" s="184" t="s">
        <v>61</v>
      </c>
      <c r="J45" s="294"/>
      <c r="K45" s="294"/>
      <c r="L45" s="265"/>
      <c r="M45" s="266"/>
      <c r="N45" s="266"/>
      <c r="O45" s="266"/>
      <c r="P45" s="266"/>
      <c r="Q45" s="266"/>
      <c r="R45" s="266"/>
      <c r="S45" s="267"/>
      <c r="T45" s="294"/>
    </row>
    <row r="46" spans="1:20" x14ac:dyDescent="0.25">
      <c r="A46" s="295"/>
      <c r="B46" s="3"/>
      <c r="C46" s="3"/>
      <c r="D46" s="3"/>
      <c r="E46" s="3"/>
      <c r="F46" s="3"/>
      <c r="G46" s="3"/>
      <c r="H46" s="3"/>
      <c r="I46" s="3"/>
      <c r="J46" s="294"/>
      <c r="K46" s="294"/>
      <c r="L46" s="13"/>
      <c r="M46" s="13"/>
      <c r="N46" s="13"/>
      <c r="O46" s="13"/>
      <c r="P46" s="13"/>
      <c r="Q46" s="13"/>
      <c r="R46" s="13"/>
      <c r="S46" s="13"/>
      <c r="T46" s="294"/>
    </row>
    <row r="47" spans="1:20" x14ac:dyDescent="0.25">
      <c r="A47" s="295"/>
      <c r="B47" s="3"/>
      <c r="C47" s="3"/>
      <c r="D47" s="3"/>
      <c r="E47" s="3"/>
      <c r="F47" s="3"/>
      <c r="G47" s="3"/>
      <c r="H47" s="3"/>
      <c r="I47" s="3"/>
      <c r="J47" s="294"/>
      <c r="K47" s="294"/>
      <c r="L47" s="13"/>
      <c r="M47" s="13"/>
      <c r="N47" s="13"/>
      <c r="O47" s="13"/>
      <c r="P47" s="13"/>
      <c r="Q47" s="13"/>
      <c r="R47" s="13"/>
      <c r="S47" s="13"/>
      <c r="T47" s="294"/>
    </row>
    <row r="48" spans="1:20" x14ac:dyDescent="0.25">
      <c r="A48" s="295"/>
      <c r="B48" s="3"/>
      <c r="C48" s="3"/>
      <c r="D48" s="3"/>
      <c r="E48" s="3"/>
      <c r="F48" s="3"/>
      <c r="G48" s="3"/>
      <c r="H48" s="3"/>
      <c r="I48" s="3"/>
      <c r="J48" s="294"/>
      <c r="K48" s="294"/>
      <c r="L48" s="13"/>
      <c r="M48" s="13"/>
      <c r="N48" s="13"/>
      <c r="O48" s="13"/>
      <c r="P48" s="13"/>
      <c r="Q48" s="13"/>
      <c r="R48" s="13"/>
      <c r="S48" s="13"/>
      <c r="T48" s="294"/>
    </row>
    <row r="49" spans="1:20" x14ac:dyDescent="0.25">
      <c r="A49" s="295"/>
      <c r="B49" s="3"/>
      <c r="C49" s="3"/>
      <c r="D49" s="3"/>
      <c r="E49" s="3"/>
      <c r="F49" s="3"/>
      <c r="G49" s="3"/>
      <c r="H49" s="3"/>
      <c r="I49" s="3"/>
      <c r="J49" s="294"/>
      <c r="K49" s="294"/>
      <c r="L49" s="13"/>
      <c r="M49" s="13"/>
      <c r="N49" s="13"/>
      <c r="O49" s="13"/>
      <c r="P49" s="13"/>
      <c r="Q49" s="13"/>
      <c r="R49" s="13"/>
      <c r="S49" s="13"/>
      <c r="T49" s="294"/>
    </row>
    <row r="50" spans="1:20" x14ac:dyDescent="0.25">
      <c r="A50" s="295"/>
      <c r="B50" s="308" t="s">
        <v>173</v>
      </c>
      <c r="C50" s="308"/>
      <c r="D50" s="308"/>
      <c r="E50" s="308"/>
      <c r="F50" s="308"/>
      <c r="G50" s="308"/>
      <c r="H50" s="308"/>
      <c r="I50" s="308"/>
      <c r="J50" s="294"/>
      <c r="K50" s="294"/>
      <c r="L50" s="355" t="s">
        <v>173</v>
      </c>
      <c r="M50" s="355"/>
      <c r="N50" s="355"/>
      <c r="O50" s="355"/>
      <c r="P50" s="355"/>
      <c r="Q50" s="355"/>
      <c r="R50" s="355"/>
      <c r="S50" s="355"/>
      <c r="T50" s="294"/>
    </row>
  </sheetData>
  <mergeCells count="16">
    <mergeCell ref="P17:R17"/>
    <mergeCell ref="L22:M22"/>
    <mergeCell ref="B50:I50"/>
    <mergeCell ref="L50:S50"/>
    <mergeCell ref="C17:H17"/>
    <mergeCell ref="B24:H24"/>
    <mergeCell ref="B12:I12"/>
    <mergeCell ref="G15:I15"/>
    <mergeCell ref="Q15:S15"/>
    <mergeCell ref="F16:H16"/>
    <mergeCell ref="P16:R16"/>
    <mergeCell ref="G1:I4"/>
    <mergeCell ref="Q1:S4"/>
    <mergeCell ref="B6:I7"/>
    <mergeCell ref="L6:S7"/>
    <mergeCell ref="B9:I9"/>
  </mergeCells>
  <conditionalFormatting sqref="H28:H37 H23 H25:H26">
    <cfRule type="dataBar" priority="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{DE6031DF-8ADE-49BE-9B4E-68CE03FC010E}</x14:id>
        </ext>
      </extLst>
    </cfRule>
  </conditionalFormatting>
  <conditionalFormatting sqref="R23:R37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{1CD33135-0DF2-45F6-946A-7DACB253A5CA}</x14:id>
        </ext>
      </extLst>
    </cfRule>
  </conditionalFormatting>
  <conditionalFormatting sqref="H27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{EF1E3F37-99D4-4C6D-9398-E59047AA0F47}</x14:id>
        </ext>
      </extLst>
    </cfRule>
  </conditionalFormatting>
  <dataValidations count="2">
    <dataValidation type="list" allowBlank="1" showInputMessage="1" showErrorMessage="1" sqref="B28:B45">
      <formula1>revisions</formula1>
    </dataValidation>
    <dataValidation type="list" allowBlank="1" showInputMessage="1" showErrorMessage="1" sqref="C28:C45">
      <formula1>bomversions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6031DF-8ADE-49BE-9B4E-68CE03FC01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H28:H37 H23 H25:H26</xm:sqref>
        </x14:conditionalFormatting>
        <x14:conditionalFormatting xmlns:xm="http://schemas.microsoft.com/office/excel/2006/main">
          <x14:cfRule type="dataBar" id="{1CD33135-0DF2-45F6-946A-7DACB253A5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R23:R37</xm:sqref>
        </x14:conditionalFormatting>
        <x14:conditionalFormatting xmlns:xm="http://schemas.microsoft.com/office/excel/2006/main">
          <x14:cfRule type="dataBar" id="{EF1E3F37-99D4-4C6D-9398-E59047AA0F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iconSet" priority="6" id="{40EB4F7A-D983-40C1-B28B-A084B19D5796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I28:I45 I24:I26</xm:sqref>
        </x14:conditionalFormatting>
        <x14:conditionalFormatting xmlns:xm="http://schemas.microsoft.com/office/excel/2006/main">
          <x14:cfRule type="iconSet" priority="4" id="{C0884A53-0962-4F2D-A50A-21283866415F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S23:S36</xm:sqref>
        </x14:conditionalFormatting>
        <x14:conditionalFormatting xmlns:xm="http://schemas.microsoft.com/office/excel/2006/main">
          <x14:cfRule type="iconSet" priority="2" id="{9E15D0EB-E428-46AD-B777-CE1EF7072235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I27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customWidth="1"/>
    <col min="2" max="2" width="14.28515625" style="1" customWidth="1"/>
    <col min="3" max="3" width="11.42578125" customWidth="1"/>
    <col min="4" max="4" width="15.7109375" style="1" customWidth="1"/>
    <col min="5" max="5" width="14.28515625" customWidth="1"/>
    <col min="6" max="8" width="15.7109375" customWidth="1"/>
    <col min="9" max="9" width="15.85546875" customWidth="1"/>
    <col min="10" max="10" width="17.140625" customWidth="1"/>
    <col min="12" max="13" width="14.28515625" customWidth="1"/>
    <col min="14" max="14" width="45.7109375" customWidth="1"/>
    <col min="15" max="15" width="14.28515625" style="1" customWidth="1"/>
    <col min="16" max="16" width="45.7109375" customWidth="1"/>
    <col min="17" max="17" width="11.42578125" style="1" customWidth="1"/>
    <col min="18" max="18" width="57.140625" style="1" customWidth="1"/>
    <col min="19" max="19" width="11.42578125" style="1" customWidth="1"/>
    <col min="21" max="21" width="22.85546875" customWidth="1"/>
    <col min="23" max="23" width="14.28515625" customWidth="1"/>
    <col min="24" max="24" width="11.42578125" customWidth="1"/>
    <col min="25" max="25" width="14.28515625" customWidth="1"/>
    <col min="26" max="26" width="45.7109375" customWidth="1"/>
    <col min="27" max="27" width="100" customWidth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Overview!B23</f>
        <v>Electrical</v>
      </c>
      <c r="B3" s="16"/>
    </row>
    <row r="5" spans="1:12" s="1" customFormat="1" x14ac:dyDescent="0.25">
      <c r="A5" s="18" t="s">
        <v>20</v>
      </c>
      <c r="B5" s="18"/>
    </row>
    <row r="6" spans="1:12" s="1" customFormat="1" x14ac:dyDescent="0.25">
      <c r="A6" s="18"/>
      <c r="B6" s="18"/>
    </row>
    <row r="7" spans="1:12" s="1" customFormat="1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s="1" customFormat="1" x14ac:dyDescent="0.25">
      <c r="A8" s="18"/>
      <c r="B8" s="18"/>
      <c r="C8" s="95"/>
      <c r="D8" s="95"/>
      <c r="E8" s="29"/>
      <c r="F8" s="29"/>
      <c r="G8" s="29"/>
      <c r="H8" s="29"/>
      <c r="I8" s="29"/>
      <c r="J8" s="29"/>
      <c r="K8" s="29"/>
      <c r="L8" s="29"/>
    </row>
    <row r="9" spans="1:12" s="1" customFormat="1" hidden="1" x14ac:dyDescent="0.25">
      <c r="A9" s="18"/>
      <c r="B9" s="18"/>
      <c r="C9" s="95"/>
      <c r="D9" s="95"/>
      <c r="E9" s="29"/>
      <c r="F9" s="29"/>
      <c r="G9" s="29"/>
      <c r="H9" s="29"/>
      <c r="I9" s="29"/>
      <c r="J9" s="29"/>
      <c r="K9" s="29"/>
      <c r="L9" s="29"/>
    </row>
    <row r="10" spans="1:12" s="1" customFormat="1" hidden="1" x14ac:dyDescent="0.25">
      <c r="A10" s="18"/>
      <c r="B10" s="18"/>
      <c r="C10" s="95"/>
      <c r="D10" s="95"/>
      <c r="E10" s="29"/>
      <c r="F10" s="29"/>
      <c r="G10" s="29"/>
      <c r="H10" s="29"/>
      <c r="I10" s="29"/>
      <c r="J10" s="29"/>
      <c r="K10" s="29"/>
      <c r="L10" s="29"/>
    </row>
    <row r="11" spans="1:12" s="1" customFormat="1" hidden="1" x14ac:dyDescent="0.25">
      <c r="A11" s="18"/>
      <c r="B11" s="18"/>
      <c r="C11" s="95"/>
      <c r="D11" s="95"/>
      <c r="E11" s="29"/>
      <c r="F11" s="29"/>
      <c r="G11" s="29"/>
      <c r="H11" s="29"/>
      <c r="I11" s="29"/>
      <c r="J11" s="29"/>
      <c r="K11" s="29"/>
      <c r="L11" s="29"/>
    </row>
    <row r="12" spans="1:12" s="1" customFormat="1" hidden="1" x14ac:dyDescent="0.25">
      <c r="A12" s="18"/>
      <c r="B12" s="18"/>
      <c r="C12" s="95"/>
      <c r="D12" s="95"/>
      <c r="E12" s="29"/>
      <c r="F12" s="29"/>
      <c r="G12" s="29"/>
      <c r="H12" s="29"/>
      <c r="I12" s="29"/>
      <c r="J12" s="29"/>
      <c r="K12" s="29"/>
      <c r="L12" s="29"/>
    </row>
    <row r="13" spans="1:12" s="1" customFormat="1" hidden="1" x14ac:dyDescent="0.25">
      <c r="A13" s="18"/>
      <c r="B13" s="18"/>
      <c r="C13" s="95"/>
      <c r="D13" s="95"/>
      <c r="E13" s="29"/>
      <c r="F13" s="29"/>
      <c r="G13" s="29"/>
      <c r="H13" s="29"/>
      <c r="I13" s="29"/>
      <c r="J13" s="29"/>
      <c r="K13" s="29"/>
      <c r="L13" s="29"/>
    </row>
    <row r="14" spans="1:12" s="1" customFormat="1" hidden="1" x14ac:dyDescent="0.25">
      <c r="A14" s="18"/>
      <c r="B14" s="18"/>
      <c r="C14" s="95"/>
      <c r="D14" s="95"/>
      <c r="E14" s="29"/>
      <c r="F14" s="29"/>
      <c r="G14" s="29"/>
      <c r="H14" s="29"/>
      <c r="I14" s="29"/>
      <c r="J14" s="29"/>
      <c r="K14" s="29"/>
      <c r="L14" s="29"/>
    </row>
    <row r="15" spans="1:12" s="1" customFormat="1" hidden="1" x14ac:dyDescent="0.25">
      <c r="A15" s="18"/>
      <c r="B15" s="18"/>
      <c r="C15" s="95"/>
      <c r="D15" s="95"/>
      <c r="E15" s="29"/>
      <c r="F15" s="29"/>
      <c r="G15" s="29"/>
      <c r="H15" s="29"/>
      <c r="I15" s="29"/>
      <c r="J15" s="29"/>
      <c r="K15" s="29"/>
      <c r="L15" s="29"/>
    </row>
    <row r="16" spans="1:12" s="1" customFormat="1" hidden="1" x14ac:dyDescent="0.25">
      <c r="A16" s="18"/>
      <c r="B16" s="18"/>
      <c r="C16" s="95"/>
      <c r="D16" s="95"/>
      <c r="E16" s="29"/>
      <c r="F16" s="29"/>
      <c r="G16" s="29"/>
      <c r="H16" s="29"/>
      <c r="I16" s="29"/>
      <c r="J16" s="29"/>
      <c r="K16" s="29"/>
      <c r="L16" s="29"/>
    </row>
    <row r="17" spans="1:13" s="1" customFormat="1" hidden="1" x14ac:dyDescent="0.25">
      <c r="A17" s="18"/>
      <c r="B17" s="18"/>
      <c r="C17" s="95"/>
      <c r="D17" s="95"/>
      <c r="E17" s="29"/>
      <c r="F17" s="29"/>
      <c r="G17" s="29"/>
      <c r="H17" s="29"/>
      <c r="I17" s="29"/>
      <c r="J17" s="29"/>
      <c r="K17" s="29"/>
      <c r="L17" s="29"/>
    </row>
    <row r="18" spans="1:13" s="1" customFormat="1" hidden="1" x14ac:dyDescent="0.25">
      <c r="A18" s="18"/>
      <c r="B18" s="18"/>
      <c r="C18" s="95"/>
      <c r="D18" s="95"/>
      <c r="E18" s="29"/>
      <c r="F18" s="29"/>
      <c r="G18" s="29"/>
      <c r="H18" s="29"/>
      <c r="I18" s="29"/>
      <c r="J18" s="29"/>
      <c r="K18" s="29"/>
      <c r="L18" s="29"/>
    </row>
    <row r="19" spans="1:13" s="1" customFormat="1" hidden="1" x14ac:dyDescent="0.25">
      <c r="A19" s="18"/>
      <c r="B19" s="18"/>
      <c r="C19" s="95"/>
      <c r="D19" s="95"/>
      <c r="E19" s="29"/>
      <c r="F19" s="29"/>
      <c r="G19" s="29"/>
      <c r="H19" s="29"/>
      <c r="I19" s="29"/>
      <c r="J19" s="29"/>
      <c r="K19" s="29"/>
      <c r="L19" s="29"/>
    </row>
    <row r="20" spans="1:13" s="1" customFormat="1" hidden="1" x14ac:dyDescent="0.25">
      <c r="A20" s="18"/>
      <c r="B20" s="18"/>
      <c r="C20" s="95"/>
      <c r="D20" s="95"/>
      <c r="E20" s="29"/>
      <c r="F20" s="29"/>
      <c r="G20" s="29"/>
      <c r="H20" s="29"/>
      <c r="I20" s="29"/>
      <c r="J20" s="29"/>
      <c r="K20" s="29"/>
      <c r="L20" s="29"/>
    </row>
    <row r="21" spans="1:13" s="1" customFormat="1" hidden="1" x14ac:dyDescent="0.25">
      <c r="A21" s="18"/>
      <c r="B21" s="18"/>
      <c r="C21" s="95"/>
      <c r="D21" s="95"/>
      <c r="E21" s="29"/>
      <c r="F21" s="29"/>
      <c r="G21" s="29"/>
      <c r="H21" s="29"/>
      <c r="I21" s="29"/>
      <c r="J21" s="29"/>
      <c r="K21" s="29"/>
      <c r="L21" s="29"/>
    </row>
    <row r="22" spans="1:13" s="1" customFormat="1" hidden="1" x14ac:dyDescent="0.25">
      <c r="A22" s="18"/>
      <c r="B22" s="18"/>
      <c r="C22" s="95"/>
      <c r="D22" s="95"/>
      <c r="E22" s="29"/>
      <c r="F22" s="29"/>
      <c r="G22" s="29"/>
      <c r="H22" s="29"/>
      <c r="I22" s="29"/>
      <c r="J22" s="29"/>
      <c r="K22" s="29"/>
      <c r="L22" s="29"/>
    </row>
    <row r="23" spans="1:13" s="1" customFormat="1" hidden="1" x14ac:dyDescent="0.25">
      <c r="A23" s="18"/>
      <c r="B23" s="18"/>
      <c r="C23" s="95"/>
      <c r="D23" s="95"/>
      <c r="E23" s="29"/>
      <c r="F23" s="29"/>
      <c r="G23" s="29"/>
      <c r="H23" s="29"/>
      <c r="I23" s="29"/>
      <c r="J23" s="29"/>
      <c r="K23" s="29"/>
      <c r="L23" s="29"/>
    </row>
    <row r="24" spans="1:13" s="1" customFormat="1" x14ac:dyDescent="0.25">
      <c r="A24" s="18"/>
      <c r="B24" s="18"/>
    </row>
    <row r="25" spans="1:13" s="1" customFormat="1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s="1" customFormat="1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s="1" customFormat="1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s="1" customFormat="1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s="1" customFormat="1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s="1" customFormat="1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s="1" customFormat="1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s="1" customFormat="1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s="1" customFormat="1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s="1" customFormat="1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s="1" customFormat="1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s="1" customFormat="1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s="1" customFormat="1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s="1" customFormat="1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s="1" customFormat="1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s="1" customFormat="1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s="1" customFormat="1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s="1" customFormat="1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s="1" customFormat="1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s="1" customFormat="1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s="1" customFormat="1" x14ac:dyDescent="0.25">
      <c r="A45" s="18"/>
      <c r="B45" s="18"/>
    </row>
    <row r="46" spans="1:16" s="1" customFormat="1" ht="15.75" thickBot="1" x14ac:dyDescent="0.3"/>
    <row r="47" spans="1:16" s="1" customFormat="1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s="1" customFormat="1" x14ac:dyDescent="0.25">
      <c r="C48" s="414" t="s">
        <v>41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s="1" customFormat="1" x14ac:dyDescent="0.25">
      <c r="C49" s="390" t="s">
        <v>75</v>
      </c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s="1" customFormat="1" x14ac:dyDescent="0.25">
      <c r="C50" s="390" t="s">
        <v>76</v>
      </c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s="1" customFormat="1" x14ac:dyDescent="0.25">
      <c r="C51" s="390" t="s">
        <v>77</v>
      </c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s="1" customFormat="1" x14ac:dyDescent="0.25">
      <c r="C52" s="390" t="s">
        <v>94</v>
      </c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s="1" customFormat="1" x14ac:dyDescent="0.25">
      <c r="C53" s="390" t="s">
        <v>96</v>
      </c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s="1" customFormat="1" x14ac:dyDescent="0.25">
      <c r="C54" s="390" t="s">
        <v>95</v>
      </c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s="1" customFormat="1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s="1" customFormat="1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s="1" customFormat="1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s="1" customFormat="1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s="1" customFormat="1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s="1" customFormat="1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s="1" customFormat="1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s="1" customFormat="1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s="1" customFormat="1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s="1" customFormat="1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s="1" customFormat="1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s="1" customFormat="1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s="1" customFormat="1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s="1" customFormat="1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s="1" customFormat="1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0" spans="3:16" s="1" customFormat="1" x14ac:dyDescent="0.25"/>
    <row r="71" spans="3:16" s="1" customFormat="1" hidden="1" x14ac:dyDescent="0.25"/>
    <row r="72" spans="3:16" s="1" customFormat="1" hidden="1" x14ac:dyDescent="0.25"/>
    <row r="73" spans="3:16" s="1" customFormat="1" hidden="1" x14ac:dyDescent="0.25"/>
    <row r="74" spans="3:16" s="1" customFormat="1" hidden="1" x14ac:dyDescent="0.25"/>
    <row r="75" spans="3:16" s="1" customFormat="1" hidden="1" x14ac:dyDescent="0.25"/>
    <row r="76" spans="3:16" s="1" customFormat="1" hidden="1" x14ac:dyDescent="0.25"/>
    <row r="77" spans="3:16" s="1" customFormat="1" hidden="1" x14ac:dyDescent="0.25"/>
    <row r="78" spans="3:16" s="1" customFormat="1" hidden="1" x14ac:dyDescent="0.25"/>
    <row r="79" spans="3:16" s="1" customFormat="1" x14ac:dyDescent="0.25"/>
    <row r="80" spans="3:16" s="1" customFormat="1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s="1" customFormat="1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s="1" customFormat="1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s="1" customFormat="1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s="1" customFormat="1" x14ac:dyDescent="0.25">
      <c r="E84" s="440"/>
      <c r="F84" s="441"/>
      <c r="G84" s="441"/>
      <c r="H84" s="441"/>
      <c r="I84" s="441"/>
      <c r="J84" s="441"/>
      <c r="K84" s="441"/>
      <c r="L84" s="442"/>
    </row>
    <row r="85" spans="1:28" s="1" customFormat="1" x14ac:dyDescent="0.25"/>
    <row r="86" spans="1:28" s="1" customFormat="1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118</v>
      </c>
    </row>
    <row r="87" spans="1:28" s="1" customFormat="1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119</v>
      </c>
    </row>
    <row r="88" spans="1:28" s="1" customFormat="1" x14ac:dyDescent="0.25"/>
    <row r="89" spans="1:28" s="1" customFormat="1" hidden="1" x14ac:dyDescent="0.25"/>
    <row r="90" spans="1:28" s="1" customFormat="1" x14ac:dyDescent="0.25"/>
    <row r="91" spans="1:28" s="1" customFormat="1" x14ac:dyDescent="0.25">
      <c r="A91" s="18" t="s">
        <v>21</v>
      </c>
      <c r="B91" s="18"/>
    </row>
    <row r="92" spans="1:28" s="1" customFormat="1" ht="15.75" thickBot="1" x14ac:dyDescent="0.3"/>
    <row r="93" spans="1:28" s="1" customFormat="1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56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29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29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29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29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29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29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29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29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29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29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29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29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29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29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P489:Q489"/>
    <mergeCell ref="P490:Q490"/>
    <mergeCell ref="P491:Q491"/>
    <mergeCell ref="P492:Q492"/>
    <mergeCell ref="P493:Q493"/>
    <mergeCell ref="P494:Q494"/>
    <mergeCell ref="P480:Q480"/>
    <mergeCell ref="P481:Q481"/>
    <mergeCell ref="P482:Q482"/>
    <mergeCell ref="P483:Q483"/>
    <mergeCell ref="P484:Q484"/>
    <mergeCell ref="P485:Q485"/>
    <mergeCell ref="P486:Q486"/>
    <mergeCell ref="P487:Q487"/>
    <mergeCell ref="P488:Q488"/>
    <mergeCell ref="P187:Q187"/>
    <mergeCell ref="P188:Q188"/>
    <mergeCell ref="P189:Q189"/>
    <mergeCell ref="P190:Q190"/>
    <mergeCell ref="P191:Q191"/>
    <mergeCell ref="P192:Q192"/>
    <mergeCell ref="P193:Q193"/>
    <mergeCell ref="P194:Q194"/>
    <mergeCell ref="P195:Q195"/>
    <mergeCell ref="P170:Q170"/>
    <mergeCell ref="P171:Q171"/>
    <mergeCell ref="P172:Q172"/>
    <mergeCell ref="P173:Q173"/>
    <mergeCell ref="P174:Q174"/>
    <mergeCell ref="P175:Q175"/>
    <mergeCell ref="P176:Q176"/>
    <mergeCell ref="P177:Q177"/>
    <mergeCell ref="P178:Q178"/>
    <mergeCell ref="P115:Q115"/>
    <mergeCell ref="P116:Q116"/>
    <mergeCell ref="P117:Q117"/>
    <mergeCell ref="P118:Q118"/>
    <mergeCell ref="P119:Q119"/>
    <mergeCell ref="P120:Q120"/>
    <mergeCell ref="P121:Q121"/>
    <mergeCell ref="P122:Q122"/>
    <mergeCell ref="P123:Q123"/>
    <mergeCell ref="P106:Q106"/>
    <mergeCell ref="P107:Q107"/>
    <mergeCell ref="P108:Q108"/>
    <mergeCell ref="P109:Q109"/>
    <mergeCell ref="P110:Q110"/>
    <mergeCell ref="P111:Q111"/>
    <mergeCell ref="P112:Q112"/>
    <mergeCell ref="P113:Q113"/>
    <mergeCell ref="P114:Q114"/>
    <mergeCell ref="R93:V93"/>
    <mergeCell ref="S94:T94"/>
    <mergeCell ref="P93:Q94"/>
    <mergeCell ref="J93:O93"/>
    <mergeCell ref="P95:Q95"/>
    <mergeCell ref="P96:Q96"/>
    <mergeCell ref="P97:Q97"/>
    <mergeCell ref="P98:Q98"/>
    <mergeCell ref="P99:Q99"/>
    <mergeCell ref="P100:Q100"/>
    <mergeCell ref="P101:Q101"/>
    <mergeCell ref="P102:Q102"/>
    <mergeCell ref="P103:Q103"/>
    <mergeCell ref="P104:Q104"/>
    <mergeCell ref="P105:Q105"/>
    <mergeCell ref="P470:Q470"/>
    <mergeCell ref="P471:Q471"/>
    <mergeCell ref="P472:Q472"/>
    <mergeCell ref="P452:Q452"/>
    <mergeCell ref="P453:Q453"/>
    <mergeCell ref="P454:Q454"/>
    <mergeCell ref="P455:Q455"/>
    <mergeCell ref="P456:Q456"/>
    <mergeCell ref="P457:Q457"/>
    <mergeCell ref="P458:Q458"/>
    <mergeCell ref="P459:Q459"/>
    <mergeCell ref="P460:Q460"/>
    <mergeCell ref="P443:Q443"/>
    <mergeCell ref="P444:Q444"/>
    <mergeCell ref="P445:Q445"/>
    <mergeCell ref="P446:Q446"/>
    <mergeCell ref="P447:Q447"/>
    <mergeCell ref="P448:Q448"/>
    <mergeCell ref="P473:Q473"/>
    <mergeCell ref="P474:Q474"/>
    <mergeCell ref="P475:Q475"/>
    <mergeCell ref="P476:Q476"/>
    <mergeCell ref="P477:Q477"/>
    <mergeCell ref="P478:Q478"/>
    <mergeCell ref="P461:Q461"/>
    <mergeCell ref="P462:Q462"/>
    <mergeCell ref="P463:Q463"/>
    <mergeCell ref="P464:Q464"/>
    <mergeCell ref="P465:Q465"/>
    <mergeCell ref="P466:Q466"/>
    <mergeCell ref="P467:Q467"/>
    <mergeCell ref="P468:Q468"/>
    <mergeCell ref="P469:Q469"/>
    <mergeCell ref="P449:Q449"/>
    <mergeCell ref="P450:Q450"/>
    <mergeCell ref="P451:Q451"/>
    <mergeCell ref="P434:Q434"/>
    <mergeCell ref="P435:Q435"/>
    <mergeCell ref="P436:Q436"/>
    <mergeCell ref="P437:Q437"/>
    <mergeCell ref="P438:Q438"/>
    <mergeCell ref="P439:Q439"/>
    <mergeCell ref="P440:Q440"/>
    <mergeCell ref="P441:Q441"/>
    <mergeCell ref="P442:Q442"/>
    <mergeCell ref="P425:Q425"/>
    <mergeCell ref="P426:Q426"/>
    <mergeCell ref="P427:Q427"/>
    <mergeCell ref="P428:Q428"/>
    <mergeCell ref="P429:Q429"/>
    <mergeCell ref="P430:Q430"/>
    <mergeCell ref="P431:Q431"/>
    <mergeCell ref="P432:Q432"/>
    <mergeCell ref="P433:Q433"/>
    <mergeCell ref="P416:Q416"/>
    <mergeCell ref="P417:Q417"/>
    <mergeCell ref="P418:Q418"/>
    <mergeCell ref="P419:Q419"/>
    <mergeCell ref="P420:Q420"/>
    <mergeCell ref="P421:Q421"/>
    <mergeCell ref="P422:Q422"/>
    <mergeCell ref="P423:Q423"/>
    <mergeCell ref="P424:Q424"/>
    <mergeCell ref="P407:Q407"/>
    <mergeCell ref="P408:Q408"/>
    <mergeCell ref="P409:Q409"/>
    <mergeCell ref="P410:Q410"/>
    <mergeCell ref="P411:Q411"/>
    <mergeCell ref="P412:Q412"/>
    <mergeCell ref="P413:Q413"/>
    <mergeCell ref="P414:Q414"/>
    <mergeCell ref="P415:Q415"/>
    <mergeCell ref="P398:Q398"/>
    <mergeCell ref="P399:Q399"/>
    <mergeCell ref="P400:Q400"/>
    <mergeCell ref="P401:Q401"/>
    <mergeCell ref="P402:Q402"/>
    <mergeCell ref="P403:Q403"/>
    <mergeCell ref="P404:Q404"/>
    <mergeCell ref="P405:Q405"/>
    <mergeCell ref="P406:Q406"/>
    <mergeCell ref="P389:Q389"/>
    <mergeCell ref="P390:Q390"/>
    <mergeCell ref="P391:Q391"/>
    <mergeCell ref="P392:Q392"/>
    <mergeCell ref="P393:Q393"/>
    <mergeCell ref="P394:Q394"/>
    <mergeCell ref="P395:Q395"/>
    <mergeCell ref="P396:Q396"/>
    <mergeCell ref="P397:Q397"/>
    <mergeCell ref="P380:Q380"/>
    <mergeCell ref="P381:Q381"/>
    <mergeCell ref="P382:Q382"/>
    <mergeCell ref="P383:Q383"/>
    <mergeCell ref="P384:Q384"/>
    <mergeCell ref="P385:Q385"/>
    <mergeCell ref="P386:Q386"/>
    <mergeCell ref="P387:Q387"/>
    <mergeCell ref="P388:Q388"/>
    <mergeCell ref="P371:Q371"/>
    <mergeCell ref="P372:Q372"/>
    <mergeCell ref="P373:Q373"/>
    <mergeCell ref="P374:Q374"/>
    <mergeCell ref="P375:Q375"/>
    <mergeCell ref="P376:Q376"/>
    <mergeCell ref="P377:Q377"/>
    <mergeCell ref="P378:Q378"/>
    <mergeCell ref="P379:Q379"/>
    <mergeCell ref="P362:Q362"/>
    <mergeCell ref="P363:Q363"/>
    <mergeCell ref="P364:Q364"/>
    <mergeCell ref="P365:Q365"/>
    <mergeCell ref="P366:Q366"/>
    <mergeCell ref="P367:Q367"/>
    <mergeCell ref="P368:Q368"/>
    <mergeCell ref="P369:Q369"/>
    <mergeCell ref="P370:Q370"/>
    <mergeCell ref="P353:Q353"/>
    <mergeCell ref="P354:Q354"/>
    <mergeCell ref="P355:Q355"/>
    <mergeCell ref="P356:Q356"/>
    <mergeCell ref="P357:Q357"/>
    <mergeCell ref="P358:Q358"/>
    <mergeCell ref="P359:Q359"/>
    <mergeCell ref="P360:Q360"/>
    <mergeCell ref="P361:Q361"/>
    <mergeCell ref="P344:Q344"/>
    <mergeCell ref="P345:Q345"/>
    <mergeCell ref="P346:Q346"/>
    <mergeCell ref="P347:Q347"/>
    <mergeCell ref="P348:Q348"/>
    <mergeCell ref="P349:Q349"/>
    <mergeCell ref="P350:Q350"/>
    <mergeCell ref="P351:Q351"/>
    <mergeCell ref="P352:Q352"/>
    <mergeCell ref="P335:Q335"/>
    <mergeCell ref="P336:Q336"/>
    <mergeCell ref="P337:Q337"/>
    <mergeCell ref="P338:Q338"/>
    <mergeCell ref="P339:Q339"/>
    <mergeCell ref="P340:Q340"/>
    <mergeCell ref="P341:Q341"/>
    <mergeCell ref="P342:Q342"/>
    <mergeCell ref="P343:Q343"/>
    <mergeCell ref="P326:Q326"/>
    <mergeCell ref="P327:Q327"/>
    <mergeCell ref="P328:Q328"/>
    <mergeCell ref="P329:Q329"/>
    <mergeCell ref="P330:Q330"/>
    <mergeCell ref="P331:Q331"/>
    <mergeCell ref="P332:Q332"/>
    <mergeCell ref="P333:Q333"/>
    <mergeCell ref="P334:Q334"/>
    <mergeCell ref="P317:Q317"/>
    <mergeCell ref="P318:Q318"/>
    <mergeCell ref="P319:Q319"/>
    <mergeCell ref="P320:Q320"/>
    <mergeCell ref="P321:Q321"/>
    <mergeCell ref="P322:Q322"/>
    <mergeCell ref="P323:Q323"/>
    <mergeCell ref="P324:Q324"/>
    <mergeCell ref="P325:Q325"/>
    <mergeCell ref="P308:Q308"/>
    <mergeCell ref="P309:Q309"/>
    <mergeCell ref="P310:Q310"/>
    <mergeCell ref="P311:Q311"/>
    <mergeCell ref="P312:Q312"/>
    <mergeCell ref="P313:Q313"/>
    <mergeCell ref="P314:Q314"/>
    <mergeCell ref="P315:Q315"/>
    <mergeCell ref="P316:Q316"/>
    <mergeCell ref="P299:Q299"/>
    <mergeCell ref="P300:Q300"/>
    <mergeCell ref="P301:Q301"/>
    <mergeCell ref="P302:Q302"/>
    <mergeCell ref="P303:Q303"/>
    <mergeCell ref="P304:Q304"/>
    <mergeCell ref="P305:Q305"/>
    <mergeCell ref="P306:Q306"/>
    <mergeCell ref="P307:Q307"/>
    <mergeCell ref="P290:Q290"/>
    <mergeCell ref="P291:Q291"/>
    <mergeCell ref="P292:Q292"/>
    <mergeCell ref="P293:Q293"/>
    <mergeCell ref="P294:Q294"/>
    <mergeCell ref="P295:Q295"/>
    <mergeCell ref="P296:Q296"/>
    <mergeCell ref="P297:Q297"/>
    <mergeCell ref="P298:Q298"/>
    <mergeCell ref="P281:Q281"/>
    <mergeCell ref="P282:Q282"/>
    <mergeCell ref="P283:Q283"/>
    <mergeCell ref="P284:Q284"/>
    <mergeCell ref="P285:Q285"/>
    <mergeCell ref="P286:Q286"/>
    <mergeCell ref="P287:Q287"/>
    <mergeCell ref="P288:Q288"/>
    <mergeCell ref="P289:Q289"/>
    <mergeCell ref="P272:Q272"/>
    <mergeCell ref="P273:Q273"/>
    <mergeCell ref="P274:Q274"/>
    <mergeCell ref="P275:Q275"/>
    <mergeCell ref="P276:Q276"/>
    <mergeCell ref="P277:Q277"/>
    <mergeCell ref="P278:Q278"/>
    <mergeCell ref="P279:Q279"/>
    <mergeCell ref="P280:Q280"/>
    <mergeCell ref="P263:Q263"/>
    <mergeCell ref="P264:Q264"/>
    <mergeCell ref="P265:Q265"/>
    <mergeCell ref="P266:Q266"/>
    <mergeCell ref="P267:Q267"/>
    <mergeCell ref="P268:Q268"/>
    <mergeCell ref="P269:Q269"/>
    <mergeCell ref="P270:Q270"/>
    <mergeCell ref="P271:Q271"/>
    <mergeCell ref="P254:Q254"/>
    <mergeCell ref="P255:Q255"/>
    <mergeCell ref="P256:Q256"/>
    <mergeCell ref="P257:Q257"/>
    <mergeCell ref="P258:Q258"/>
    <mergeCell ref="P259:Q259"/>
    <mergeCell ref="P260:Q260"/>
    <mergeCell ref="P261:Q261"/>
    <mergeCell ref="P262:Q262"/>
    <mergeCell ref="P245:Q245"/>
    <mergeCell ref="P246:Q246"/>
    <mergeCell ref="P247:Q247"/>
    <mergeCell ref="P248:Q248"/>
    <mergeCell ref="P249:Q249"/>
    <mergeCell ref="P250:Q250"/>
    <mergeCell ref="P251:Q251"/>
    <mergeCell ref="P252:Q252"/>
    <mergeCell ref="P253:Q253"/>
    <mergeCell ref="P236:Q236"/>
    <mergeCell ref="P237:Q237"/>
    <mergeCell ref="P238:Q238"/>
    <mergeCell ref="P239:Q239"/>
    <mergeCell ref="P240:Q240"/>
    <mergeCell ref="P241:Q241"/>
    <mergeCell ref="P242:Q242"/>
    <mergeCell ref="P243:Q243"/>
    <mergeCell ref="P244:Q244"/>
    <mergeCell ref="P227:Q227"/>
    <mergeCell ref="P228:Q228"/>
    <mergeCell ref="P229:Q229"/>
    <mergeCell ref="P230:Q230"/>
    <mergeCell ref="P231:Q231"/>
    <mergeCell ref="P232:Q232"/>
    <mergeCell ref="P233:Q233"/>
    <mergeCell ref="P234:Q234"/>
    <mergeCell ref="P235:Q235"/>
    <mergeCell ref="P218:Q218"/>
    <mergeCell ref="P219:Q219"/>
    <mergeCell ref="P220:Q220"/>
    <mergeCell ref="P221:Q221"/>
    <mergeCell ref="P222:Q222"/>
    <mergeCell ref="P223:Q223"/>
    <mergeCell ref="P224:Q224"/>
    <mergeCell ref="P225:Q225"/>
    <mergeCell ref="P226:Q226"/>
    <mergeCell ref="P209:Q209"/>
    <mergeCell ref="P210:Q210"/>
    <mergeCell ref="P211:Q211"/>
    <mergeCell ref="P212:Q212"/>
    <mergeCell ref="P213:Q213"/>
    <mergeCell ref="P214:Q214"/>
    <mergeCell ref="P215:Q215"/>
    <mergeCell ref="P216:Q216"/>
    <mergeCell ref="P217:Q217"/>
    <mergeCell ref="P200:Q200"/>
    <mergeCell ref="P201:Q201"/>
    <mergeCell ref="P202:Q202"/>
    <mergeCell ref="P203:Q203"/>
    <mergeCell ref="P204:Q204"/>
    <mergeCell ref="P205:Q205"/>
    <mergeCell ref="P206:Q206"/>
    <mergeCell ref="P207:Q207"/>
    <mergeCell ref="P208:Q208"/>
    <mergeCell ref="P196:Q196"/>
    <mergeCell ref="P197:Q197"/>
    <mergeCell ref="P198:Q198"/>
    <mergeCell ref="P199:Q199"/>
    <mergeCell ref="P124:Q124"/>
    <mergeCell ref="P125:Q125"/>
    <mergeCell ref="P126:Q126"/>
    <mergeCell ref="E43:L43"/>
    <mergeCell ref="F44:G44"/>
    <mergeCell ref="I44:L44"/>
    <mergeCell ref="P179:Q179"/>
    <mergeCell ref="P180:Q180"/>
    <mergeCell ref="P181:Q181"/>
    <mergeCell ref="P182:Q182"/>
    <mergeCell ref="P183:Q183"/>
    <mergeCell ref="P184:Q184"/>
    <mergeCell ref="P185:Q185"/>
    <mergeCell ref="P186:Q186"/>
    <mergeCell ref="P164:Q164"/>
    <mergeCell ref="P165:Q165"/>
    <mergeCell ref="P166:Q166"/>
    <mergeCell ref="P167:Q167"/>
    <mergeCell ref="P168:Q168"/>
    <mergeCell ref="P169:Q169"/>
    <mergeCell ref="C63:D63"/>
    <mergeCell ref="C64:D64"/>
    <mergeCell ref="C65:D65"/>
    <mergeCell ref="C66:D66"/>
    <mergeCell ref="C67:D67"/>
    <mergeCell ref="C68:D68"/>
    <mergeCell ref="K47:L47"/>
    <mergeCell ref="K69:L69"/>
    <mergeCell ref="C69:D69"/>
    <mergeCell ref="P161:Q161"/>
    <mergeCell ref="P162:Q162"/>
    <mergeCell ref="P163:Q163"/>
    <mergeCell ref="P146:Q146"/>
    <mergeCell ref="P147:Q147"/>
    <mergeCell ref="P148:Q148"/>
    <mergeCell ref="P149:Q149"/>
    <mergeCell ref="P150:Q150"/>
    <mergeCell ref="P151:Q151"/>
    <mergeCell ref="P152:Q152"/>
    <mergeCell ref="P153:Q153"/>
    <mergeCell ref="P154:Q154"/>
    <mergeCell ref="P155:Q155"/>
    <mergeCell ref="P156:Q156"/>
    <mergeCell ref="P157:Q157"/>
    <mergeCell ref="P158:Q158"/>
    <mergeCell ref="P159:Q159"/>
    <mergeCell ref="P160:Q160"/>
    <mergeCell ref="P143:Q143"/>
    <mergeCell ref="P144:Q144"/>
    <mergeCell ref="P145:Q145"/>
    <mergeCell ref="P128:Q128"/>
    <mergeCell ref="P129:Q129"/>
    <mergeCell ref="P130:Q130"/>
    <mergeCell ref="P131:Q131"/>
    <mergeCell ref="P132:Q132"/>
    <mergeCell ref="P133:Q133"/>
    <mergeCell ref="P134:Q134"/>
    <mergeCell ref="P135:Q135"/>
    <mergeCell ref="P136:Q136"/>
    <mergeCell ref="P137:Q137"/>
    <mergeCell ref="P138:Q138"/>
    <mergeCell ref="P139:Q139"/>
    <mergeCell ref="P140:Q140"/>
    <mergeCell ref="P141:Q141"/>
    <mergeCell ref="P142:Q142"/>
    <mergeCell ref="P127:Q127"/>
    <mergeCell ref="E25:L25"/>
    <mergeCell ref="C47:D47"/>
    <mergeCell ref="C48:D48"/>
    <mergeCell ref="C49:D49"/>
    <mergeCell ref="C50:D50"/>
    <mergeCell ref="C51:D51"/>
    <mergeCell ref="C52:D52"/>
    <mergeCell ref="C53:D53"/>
    <mergeCell ref="M47:N47"/>
    <mergeCell ref="C25:D25"/>
    <mergeCell ref="K48:L48"/>
    <mergeCell ref="I26:L26"/>
    <mergeCell ref="F26:G26"/>
    <mergeCell ref="F29:G29"/>
    <mergeCell ref="I29:L29"/>
    <mergeCell ref="F32:G32"/>
    <mergeCell ref="I32:L32"/>
    <mergeCell ref="F35:G35"/>
    <mergeCell ref="I35:L35"/>
    <mergeCell ref="F38:G38"/>
    <mergeCell ref="I38:L38"/>
    <mergeCell ref="C40:D40"/>
    <mergeCell ref="E40:L40"/>
    <mergeCell ref="F41:G41"/>
    <mergeCell ref="G190:I190"/>
    <mergeCell ref="G191:I191"/>
    <mergeCell ref="G192:I192"/>
    <mergeCell ref="G193:I193"/>
    <mergeCell ref="G194:I194"/>
    <mergeCell ref="W93:Z93"/>
    <mergeCell ref="G181:I181"/>
    <mergeCell ref="G182:I182"/>
    <mergeCell ref="G183:I183"/>
    <mergeCell ref="G184:I184"/>
    <mergeCell ref="G185:I185"/>
    <mergeCell ref="G186:I186"/>
    <mergeCell ref="G187:I187"/>
    <mergeCell ref="G188:I188"/>
    <mergeCell ref="G189:I189"/>
    <mergeCell ref="G172:I172"/>
    <mergeCell ref="G173:I173"/>
    <mergeCell ref="G174:I174"/>
    <mergeCell ref="G175:I175"/>
    <mergeCell ref="G176:I176"/>
    <mergeCell ref="G177:I177"/>
    <mergeCell ref="G178:I178"/>
    <mergeCell ref="G179:I179"/>
    <mergeCell ref="G180:I180"/>
    <mergeCell ref="G163:I163"/>
    <mergeCell ref="G164:I164"/>
    <mergeCell ref="G165:I165"/>
    <mergeCell ref="G166:I166"/>
    <mergeCell ref="G167:I167"/>
    <mergeCell ref="G168:I168"/>
    <mergeCell ref="G169:I169"/>
    <mergeCell ref="G170:I170"/>
    <mergeCell ref="G171:I171"/>
    <mergeCell ref="G154:I154"/>
    <mergeCell ref="G155:I155"/>
    <mergeCell ref="G156:I156"/>
    <mergeCell ref="G157:I157"/>
    <mergeCell ref="G158:I158"/>
    <mergeCell ref="G159:I159"/>
    <mergeCell ref="G160:I160"/>
    <mergeCell ref="G161:I161"/>
    <mergeCell ref="G162:I162"/>
    <mergeCell ref="G145:I145"/>
    <mergeCell ref="G146:I146"/>
    <mergeCell ref="G147:I147"/>
    <mergeCell ref="G148:I148"/>
    <mergeCell ref="G149:I149"/>
    <mergeCell ref="G150:I150"/>
    <mergeCell ref="G151:I151"/>
    <mergeCell ref="G152:I152"/>
    <mergeCell ref="G153:I153"/>
    <mergeCell ref="G114:I114"/>
    <mergeCell ref="G115:I115"/>
    <mergeCell ref="G136:I136"/>
    <mergeCell ref="G137:I137"/>
    <mergeCell ref="G138:I138"/>
    <mergeCell ref="G139:I139"/>
    <mergeCell ref="G140:I140"/>
    <mergeCell ref="G131:I131"/>
    <mergeCell ref="G116:I116"/>
    <mergeCell ref="G117:I117"/>
    <mergeCell ref="G118:I118"/>
    <mergeCell ref="G119:I119"/>
    <mergeCell ref="G120:I120"/>
    <mergeCell ref="G121:I121"/>
    <mergeCell ref="G122:I122"/>
    <mergeCell ref="G123:I123"/>
    <mergeCell ref="G124:I124"/>
    <mergeCell ref="G132:I132"/>
    <mergeCell ref="G133:I133"/>
    <mergeCell ref="A93:A94"/>
    <mergeCell ref="K66:L66"/>
    <mergeCell ref="K67:L67"/>
    <mergeCell ref="K68:L68"/>
    <mergeCell ref="G95:I95"/>
    <mergeCell ref="G96:I96"/>
    <mergeCell ref="G97:I97"/>
    <mergeCell ref="C93:C94"/>
    <mergeCell ref="D93:D94"/>
    <mergeCell ref="E93:E94"/>
    <mergeCell ref="F93:I93"/>
    <mergeCell ref="G94:I94"/>
    <mergeCell ref="C80:D80"/>
    <mergeCell ref="C86:D86"/>
    <mergeCell ref="E86:E87"/>
    <mergeCell ref="G87:L87"/>
    <mergeCell ref="E80:L80"/>
    <mergeCell ref="E81:L81"/>
    <mergeCell ref="E82:L82"/>
    <mergeCell ref="E83:L83"/>
    <mergeCell ref="E84:L84"/>
    <mergeCell ref="N86:N87"/>
    <mergeCell ref="B93:B94"/>
    <mergeCell ref="C7:D7"/>
    <mergeCell ref="E7:L7"/>
    <mergeCell ref="G195:I19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G125:I125"/>
    <mergeCell ref="G126:I126"/>
    <mergeCell ref="G127:I127"/>
    <mergeCell ref="G128:I128"/>
    <mergeCell ref="G129:I129"/>
    <mergeCell ref="K61:L61"/>
    <mergeCell ref="K62:L62"/>
    <mergeCell ref="K63:L63"/>
    <mergeCell ref="K64:L64"/>
    <mergeCell ref="K65:L65"/>
    <mergeCell ref="G196:I196"/>
    <mergeCell ref="G98:I98"/>
    <mergeCell ref="G99:I99"/>
    <mergeCell ref="G100:I100"/>
    <mergeCell ref="G101:I101"/>
    <mergeCell ref="G102:I102"/>
    <mergeCell ref="G103:I103"/>
    <mergeCell ref="G104:I104"/>
    <mergeCell ref="G105:I105"/>
    <mergeCell ref="G106:I106"/>
    <mergeCell ref="G107:I107"/>
    <mergeCell ref="G108:I108"/>
    <mergeCell ref="G109:I109"/>
    <mergeCell ref="G110:I110"/>
    <mergeCell ref="G111:I111"/>
    <mergeCell ref="G141:I141"/>
    <mergeCell ref="G142:I142"/>
    <mergeCell ref="G143:I143"/>
    <mergeCell ref="G144:I144"/>
    <mergeCell ref="G134:I134"/>
    <mergeCell ref="G135:I135"/>
    <mergeCell ref="G130:I130"/>
    <mergeCell ref="G112:I112"/>
    <mergeCell ref="G113:I113"/>
    <mergeCell ref="G197:I197"/>
    <mergeCell ref="G198:I198"/>
    <mergeCell ref="G199:I199"/>
    <mergeCell ref="G200:I200"/>
    <mergeCell ref="G201:I201"/>
    <mergeCell ref="G202:I202"/>
    <mergeCell ref="G203:I203"/>
    <mergeCell ref="G204:I204"/>
    <mergeCell ref="G205:I205"/>
    <mergeCell ref="G206:I206"/>
    <mergeCell ref="G207:I207"/>
    <mergeCell ref="G208:I208"/>
    <mergeCell ref="G209:I209"/>
    <mergeCell ref="G210:I210"/>
    <mergeCell ref="G211:I211"/>
    <mergeCell ref="G212:I212"/>
    <mergeCell ref="G213:I213"/>
    <mergeCell ref="G214:I214"/>
    <mergeCell ref="G215:I215"/>
    <mergeCell ref="G216:I216"/>
    <mergeCell ref="G217:I217"/>
    <mergeCell ref="G218:I218"/>
    <mergeCell ref="G219:I219"/>
    <mergeCell ref="G220:I220"/>
    <mergeCell ref="G221:I221"/>
    <mergeCell ref="G222:I222"/>
    <mergeCell ref="G223:I223"/>
    <mergeCell ref="G224:I224"/>
    <mergeCell ref="G225:I225"/>
    <mergeCell ref="G226:I226"/>
    <mergeCell ref="G227:I227"/>
    <mergeCell ref="G228:I228"/>
    <mergeCell ref="G229:I229"/>
    <mergeCell ref="G230:I230"/>
    <mergeCell ref="G231:I231"/>
    <mergeCell ref="G232:I232"/>
    <mergeCell ref="G233:I233"/>
    <mergeCell ref="G234:I234"/>
    <mergeCell ref="G235:I235"/>
    <mergeCell ref="G236:I236"/>
    <mergeCell ref="G237:I237"/>
    <mergeCell ref="G238:I238"/>
    <mergeCell ref="G239:I239"/>
    <mergeCell ref="G240:I240"/>
    <mergeCell ref="G241:I241"/>
    <mergeCell ref="G242:I242"/>
    <mergeCell ref="G243:I243"/>
    <mergeCell ref="G244:I244"/>
    <mergeCell ref="G245:I245"/>
    <mergeCell ref="G246:I246"/>
    <mergeCell ref="G247:I247"/>
    <mergeCell ref="G248:I248"/>
    <mergeCell ref="G249:I249"/>
    <mergeCell ref="G250:I250"/>
    <mergeCell ref="G251:I251"/>
    <mergeCell ref="G252:I252"/>
    <mergeCell ref="G253:I253"/>
    <mergeCell ref="G254:I254"/>
    <mergeCell ref="G255:I255"/>
    <mergeCell ref="G256:I256"/>
    <mergeCell ref="G257:I257"/>
    <mergeCell ref="G258:I258"/>
    <mergeCell ref="G259:I259"/>
    <mergeCell ref="G260:I260"/>
    <mergeCell ref="G261:I261"/>
    <mergeCell ref="G262:I262"/>
    <mergeCell ref="G263:I263"/>
    <mergeCell ref="G264:I264"/>
    <mergeCell ref="G265:I265"/>
    <mergeCell ref="G266:I266"/>
    <mergeCell ref="G267:I267"/>
    <mergeCell ref="G268:I268"/>
    <mergeCell ref="G269:I269"/>
    <mergeCell ref="G270:I270"/>
    <mergeCell ref="G271:I271"/>
    <mergeCell ref="G272:I272"/>
    <mergeCell ref="G273:I273"/>
    <mergeCell ref="G274:I274"/>
    <mergeCell ref="G275:I275"/>
    <mergeCell ref="G276:I276"/>
    <mergeCell ref="G277:I277"/>
    <mergeCell ref="G278:I278"/>
    <mergeCell ref="G279:I279"/>
    <mergeCell ref="G280:I280"/>
    <mergeCell ref="G281:I281"/>
    <mergeCell ref="G282:I282"/>
    <mergeCell ref="G283:I283"/>
    <mergeCell ref="G284:I284"/>
    <mergeCell ref="G285:I285"/>
    <mergeCell ref="G286:I286"/>
    <mergeCell ref="G287:I287"/>
    <mergeCell ref="G288:I288"/>
    <mergeCell ref="G289:I289"/>
    <mergeCell ref="G290:I290"/>
    <mergeCell ref="G291:I291"/>
    <mergeCell ref="G292:I292"/>
    <mergeCell ref="G293:I293"/>
    <mergeCell ref="G294:I294"/>
    <mergeCell ref="G295:I295"/>
    <mergeCell ref="G296:I296"/>
    <mergeCell ref="G297:I297"/>
    <mergeCell ref="G298:I298"/>
    <mergeCell ref="G299:I299"/>
    <mergeCell ref="G300:I300"/>
    <mergeCell ref="G301:I301"/>
    <mergeCell ref="G302:I302"/>
    <mergeCell ref="G303:I303"/>
    <mergeCell ref="G304:I304"/>
    <mergeCell ref="G305:I305"/>
    <mergeCell ref="G306:I306"/>
    <mergeCell ref="G307:I307"/>
    <mergeCell ref="G308:I308"/>
    <mergeCell ref="G309:I309"/>
    <mergeCell ref="G310:I310"/>
    <mergeCell ref="G311:I311"/>
    <mergeCell ref="G312:I312"/>
    <mergeCell ref="G313:I313"/>
    <mergeCell ref="G314:I314"/>
    <mergeCell ref="G315:I315"/>
    <mergeCell ref="G316:I316"/>
    <mergeCell ref="G317:I317"/>
    <mergeCell ref="G318:I318"/>
    <mergeCell ref="G319:I319"/>
    <mergeCell ref="G320:I320"/>
    <mergeCell ref="G321:I321"/>
    <mergeCell ref="G322:I322"/>
    <mergeCell ref="G323:I323"/>
    <mergeCell ref="G324:I324"/>
    <mergeCell ref="G325:I325"/>
    <mergeCell ref="G326:I326"/>
    <mergeCell ref="G327:I327"/>
    <mergeCell ref="G328:I328"/>
    <mergeCell ref="G329:I329"/>
    <mergeCell ref="G330:I330"/>
    <mergeCell ref="G331:I331"/>
    <mergeCell ref="G332:I332"/>
    <mergeCell ref="G333:I333"/>
    <mergeCell ref="G334:I334"/>
    <mergeCell ref="G335:I335"/>
    <mergeCell ref="G336:I336"/>
    <mergeCell ref="G337:I337"/>
    <mergeCell ref="G338:I338"/>
    <mergeCell ref="G339:I339"/>
    <mergeCell ref="G340:I340"/>
    <mergeCell ref="G341:I341"/>
    <mergeCell ref="G342:I342"/>
    <mergeCell ref="G343:I343"/>
    <mergeCell ref="G344:I344"/>
    <mergeCell ref="G345:I345"/>
    <mergeCell ref="G346:I346"/>
    <mergeCell ref="G347:I347"/>
    <mergeCell ref="G348:I348"/>
    <mergeCell ref="G349:I349"/>
    <mergeCell ref="G350:I350"/>
    <mergeCell ref="G351:I351"/>
    <mergeCell ref="G352:I352"/>
    <mergeCell ref="G353:I353"/>
    <mergeCell ref="G354:I354"/>
    <mergeCell ref="G355:I355"/>
    <mergeCell ref="G356:I356"/>
    <mergeCell ref="G357:I357"/>
    <mergeCell ref="G358:I358"/>
    <mergeCell ref="G359:I359"/>
    <mergeCell ref="G360:I360"/>
    <mergeCell ref="G361:I361"/>
    <mergeCell ref="G362:I362"/>
    <mergeCell ref="G363:I363"/>
    <mergeCell ref="G364:I364"/>
    <mergeCell ref="G365:I365"/>
    <mergeCell ref="G366:I366"/>
    <mergeCell ref="G367:I367"/>
    <mergeCell ref="G368:I368"/>
    <mergeCell ref="G369:I369"/>
    <mergeCell ref="G370:I370"/>
    <mergeCell ref="G371:I371"/>
    <mergeCell ref="G372:I372"/>
    <mergeCell ref="G373:I373"/>
    <mergeCell ref="G374:I374"/>
    <mergeCell ref="G375:I375"/>
    <mergeCell ref="G376:I376"/>
    <mergeCell ref="G377:I377"/>
    <mergeCell ref="G378:I378"/>
    <mergeCell ref="G379:I379"/>
    <mergeCell ref="G380:I380"/>
    <mergeCell ref="G381:I381"/>
    <mergeCell ref="G382:I382"/>
    <mergeCell ref="G383:I383"/>
    <mergeCell ref="G384:I384"/>
    <mergeCell ref="G385:I385"/>
    <mergeCell ref="G386:I386"/>
    <mergeCell ref="G387:I387"/>
    <mergeCell ref="G388:I388"/>
    <mergeCell ref="G389:I389"/>
    <mergeCell ref="G390:I390"/>
    <mergeCell ref="G391:I391"/>
    <mergeCell ref="G392:I392"/>
    <mergeCell ref="G393:I393"/>
    <mergeCell ref="G394:I394"/>
    <mergeCell ref="G395:I395"/>
    <mergeCell ref="G396:I396"/>
    <mergeCell ref="G397:I397"/>
    <mergeCell ref="G398:I398"/>
    <mergeCell ref="G399:I399"/>
    <mergeCell ref="G400:I400"/>
    <mergeCell ref="G401:I401"/>
    <mergeCell ref="G402:I402"/>
    <mergeCell ref="G403:I403"/>
    <mergeCell ref="G404:I404"/>
    <mergeCell ref="G405:I405"/>
    <mergeCell ref="G406:I406"/>
    <mergeCell ref="G407:I407"/>
    <mergeCell ref="G408:I408"/>
    <mergeCell ref="G409:I409"/>
    <mergeCell ref="G410:I410"/>
    <mergeCell ref="G411:I411"/>
    <mergeCell ref="G412:I412"/>
    <mergeCell ref="G413:I413"/>
    <mergeCell ref="G414:I414"/>
    <mergeCell ref="G415:I415"/>
    <mergeCell ref="G416:I416"/>
    <mergeCell ref="G417:I417"/>
    <mergeCell ref="G418:I418"/>
    <mergeCell ref="G419:I419"/>
    <mergeCell ref="G420:I420"/>
    <mergeCell ref="G421:I421"/>
    <mergeCell ref="G422:I422"/>
    <mergeCell ref="G423:I423"/>
    <mergeCell ref="G424:I424"/>
    <mergeCell ref="G425:I425"/>
    <mergeCell ref="G426:I426"/>
    <mergeCell ref="G427:I427"/>
    <mergeCell ref="G428:I428"/>
    <mergeCell ref="G429:I429"/>
    <mergeCell ref="G430:I430"/>
    <mergeCell ref="G431:I431"/>
    <mergeCell ref="G432:I432"/>
    <mergeCell ref="G433:I433"/>
    <mergeCell ref="G434:I434"/>
    <mergeCell ref="G435:I435"/>
    <mergeCell ref="G436:I436"/>
    <mergeCell ref="G437:I437"/>
    <mergeCell ref="G438:I438"/>
    <mergeCell ref="G439:I439"/>
    <mergeCell ref="G440:I440"/>
    <mergeCell ref="G441:I441"/>
    <mergeCell ref="G442:I442"/>
    <mergeCell ref="G443:I443"/>
    <mergeCell ref="G444:I444"/>
    <mergeCell ref="G445:I445"/>
    <mergeCell ref="G446:I446"/>
    <mergeCell ref="G447:I447"/>
    <mergeCell ref="G448:I448"/>
    <mergeCell ref="G449:I449"/>
    <mergeCell ref="G450:I450"/>
    <mergeCell ref="G451:I451"/>
    <mergeCell ref="G452:I452"/>
    <mergeCell ref="G453:I453"/>
    <mergeCell ref="G454:I454"/>
    <mergeCell ref="G455:I455"/>
    <mergeCell ref="G456:I456"/>
    <mergeCell ref="G457:I457"/>
    <mergeCell ref="G470:I470"/>
    <mergeCell ref="G471:I471"/>
    <mergeCell ref="G472:I472"/>
    <mergeCell ref="G473:I473"/>
    <mergeCell ref="G474:I474"/>
    <mergeCell ref="G475:I475"/>
    <mergeCell ref="G458:I458"/>
    <mergeCell ref="G459:I459"/>
    <mergeCell ref="G460:I460"/>
    <mergeCell ref="G461:I461"/>
    <mergeCell ref="G462:I462"/>
    <mergeCell ref="G463:I463"/>
    <mergeCell ref="G464:I464"/>
    <mergeCell ref="G465:I465"/>
    <mergeCell ref="G466:I466"/>
    <mergeCell ref="G492:I492"/>
    <mergeCell ref="G493:I493"/>
    <mergeCell ref="G494:I494"/>
    <mergeCell ref="U94:V94"/>
    <mergeCell ref="G487:I487"/>
    <mergeCell ref="G488:I488"/>
    <mergeCell ref="G489:I489"/>
    <mergeCell ref="G490:I490"/>
    <mergeCell ref="G491:I491"/>
    <mergeCell ref="G482:I482"/>
    <mergeCell ref="G483:I483"/>
    <mergeCell ref="G484:I484"/>
    <mergeCell ref="G476:I476"/>
    <mergeCell ref="G485:I485"/>
    <mergeCell ref="G486:I486"/>
    <mergeCell ref="G477:I477"/>
    <mergeCell ref="G478:I478"/>
    <mergeCell ref="G479:I479"/>
    <mergeCell ref="G480:I480"/>
    <mergeCell ref="G481:I481"/>
    <mergeCell ref="P479:Q479"/>
    <mergeCell ref="G467:I467"/>
    <mergeCell ref="G468:I468"/>
    <mergeCell ref="G469:I469"/>
    <mergeCell ref="AA93:AA94"/>
    <mergeCell ref="C28:D28"/>
    <mergeCell ref="E28:L28"/>
    <mergeCell ref="C31:D31"/>
    <mergeCell ref="E31:L31"/>
    <mergeCell ref="C34:D34"/>
    <mergeCell ref="E34:L34"/>
    <mergeCell ref="C37:D37"/>
    <mergeCell ref="E37:L37"/>
    <mergeCell ref="K49:L49"/>
    <mergeCell ref="K50:L50"/>
    <mergeCell ref="K51:L51"/>
    <mergeCell ref="K52:L52"/>
    <mergeCell ref="K53:L53"/>
    <mergeCell ref="K56:L56"/>
    <mergeCell ref="K57:L57"/>
    <mergeCell ref="K58:L58"/>
    <mergeCell ref="K59:L59"/>
    <mergeCell ref="K60:L60"/>
    <mergeCell ref="K54:L54"/>
    <mergeCell ref="K55:L55"/>
    <mergeCell ref="O47:P47"/>
    <mergeCell ref="I41:L41"/>
    <mergeCell ref="C43:D43"/>
  </mergeCells>
  <conditionalFormatting sqref="K48:K69">
    <cfRule type="dataBar" priority="60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{C389A159-2F4C-4D20-AB2E-445E5271F9B5}</x14:id>
        </ext>
      </extLst>
    </cfRule>
  </conditionalFormatting>
  <conditionalFormatting sqref="J233:J494 J222:J224 J95:J174">
    <cfRule type="cellIs" dxfId="815" priority="71" operator="equal">
      <formula>"OK"</formula>
    </cfRule>
    <cfRule type="cellIs" dxfId="814" priority="72" operator="equal">
      <formula>"NOK"</formula>
    </cfRule>
    <cfRule type="cellIs" dxfId="813" priority="73" operator="equal">
      <formula>"Already Tested"</formula>
    </cfRule>
    <cfRule type="cellIs" dxfId="812" priority="74" operator="equal">
      <formula>"Not Tested"</formula>
    </cfRule>
    <cfRule type="cellIs" dxfId="811" priority="90" operator="equal">
      <formula>"In Progress"</formula>
    </cfRule>
    <cfRule type="expression" dxfId="810" priority="91">
      <formula>(LEN($F95)&gt;0)</formula>
    </cfRule>
  </conditionalFormatting>
  <conditionalFormatting sqref="W233:W494 W222:W224 W95:W174">
    <cfRule type="cellIs" dxfId="809" priority="43" operator="equal">
      <formula>"OK"</formula>
    </cfRule>
    <cfRule type="cellIs" dxfId="808" priority="68" operator="equal">
      <formula>"NOK"</formula>
    </cfRule>
    <cfRule type="expression" dxfId="807" priority="69">
      <formula>($J95="In Progress")</formula>
    </cfRule>
    <cfRule type="expression" dxfId="806" priority="70">
      <formula>(LEN($J95)&gt;0)</formula>
    </cfRule>
  </conditionalFormatting>
  <conditionalFormatting sqref="M48:N69">
    <cfRule type="expression" dxfId="805" priority="56">
      <formula>($M48=3)</formula>
    </cfRule>
    <cfRule type="expression" dxfId="804" priority="57">
      <formula>($M48=2)</formula>
    </cfRule>
    <cfRule type="expression" dxfId="803" priority="58">
      <formula>($M48=1)</formula>
    </cfRule>
    <cfRule type="expression" dxfId="802" priority="59">
      <formula>($M48=0)</formula>
    </cfRule>
  </conditionalFormatting>
  <conditionalFormatting sqref="M47:N47">
    <cfRule type="expression" dxfId="801" priority="52">
      <formula>(M69=3)</formula>
    </cfRule>
    <cfRule type="expression" dxfId="800" priority="53">
      <formula>(M69=2)</formula>
    </cfRule>
    <cfRule type="expression" dxfId="799" priority="54">
      <formula>(M69=1)</formula>
    </cfRule>
    <cfRule type="expression" dxfId="798" priority="55">
      <formula>(M69=0)</formula>
    </cfRule>
  </conditionalFormatting>
  <conditionalFormatting sqref="O47:P47">
    <cfRule type="expression" dxfId="797" priority="48">
      <formula>(O69=3)</formula>
    </cfRule>
    <cfRule type="expression" dxfId="796" priority="49">
      <formula>(O69=2)</formula>
    </cfRule>
    <cfRule type="expression" dxfId="795" priority="50">
      <formula>(O69=1)</formula>
    </cfRule>
    <cfRule type="expression" dxfId="794" priority="51">
      <formula>(O69=0)</formula>
    </cfRule>
  </conditionalFormatting>
  <conditionalFormatting sqref="O48:P69">
    <cfRule type="expression" dxfId="793" priority="45">
      <formula>($O48=3)</formula>
    </cfRule>
    <cfRule type="expression" dxfId="792" priority="46">
      <formula>($O48=2)</formula>
    </cfRule>
    <cfRule type="expression" dxfId="791" priority="47">
      <formula>($O48=1)</formula>
    </cfRule>
    <cfRule type="expression" dxfId="790" priority="64">
      <formula>($O48=0)</formula>
    </cfRule>
  </conditionalFormatting>
  <conditionalFormatting sqref="M233:M494 M222:M224 M95:M174">
    <cfRule type="expression" dxfId="789" priority="41">
      <formula>($J95="Already Tested")*(LEN($M95)=0)</formula>
    </cfRule>
    <cfRule type="expression" dxfId="788" priority="42">
      <formula>($J95="Already Tested")</formula>
    </cfRule>
  </conditionalFormatting>
  <conditionalFormatting sqref="J225:J232">
    <cfRule type="cellIs" dxfId="787" priority="35" operator="equal">
      <formula>"OK"</formula>
    </cfRule>
    <cfRule type="cellIs" dxfId="786" priority="36" operator="equal">
      <formula>"NOK"</formula>
    </cfRule>
    <cfRule type="cellIs" dxfId="785" priority="37" operator="equal">
      <formula>"Already Tested"</formula>
    </cfRule>
    <cfRule type="cellIs" dxfId="784" priority="38" operator="equal">
      <formula>"Not Tested"</formula>
    </cfRule>
    <cfRule type="cellIs" dxfId="783" priority="39" operator="equal">
      <formula>"In Progress"</formula>
    </cfRule>
    <cfRule type="expression" dxfId="782" priority="40">
      <formula>(LEN($F225)&gt;0)</formula>
    </cfRule>
  </conditionalFormatting>
  <conditionalFormatting sqref="W225:W232">
    <cfRule type="cellIs" dxfId="781" priority="31" operator="equal">
      <formula>"OK"</formula>
    </cfRule>
    <cfRule type="cellIs" dxfId="780" priority="32" operator="equal">
      <formula>"NOK"</formula>
    </cfRule>
    <cfRule type="expression" dxfId="779" priority="33">
      <formula>($J225="In Progress")</formula>
    </cfRule>
    <cfRule type="expression" dxfId="778" priority="34">
      <formula>(LEN($J225)&gt;0)</formula>
    </cfRule>
  </conditionalFormatting>
  <conditionalFormatting sqref="M225:M232">
    <cfRule type="expression" dxfId="777" priority="29">
      <formula>($J225="Already Tested")*(LEN($M225)=0)</formula>
    </cfRule>
    <cfRule type="expression" dxfId="776" priority="30">
      <formula>($J225="Already Tested")</formula>
    </cfRule>
  </conditionalFormatting>
  <conditionalFormatting sqref="J173:J213">
    <cfRule type="cellIs" dxfId="775" priority="23" operator="equal">
      <formula>"OK"</formula>
    </cfRule>
    <cfRule type="cellIs" dxfId="774" priority="24" operator="equal">
      <formula>"NOK"</formula>
    </cfRule>
    <cfRule type="cellIs" dxfId="773" priority="25" operator="equal">
      <formula>"Already Tested"</formula>
    </cfRule>
    <cfRule type="cellIs" dxfId="772" priority="26" operator="equal">
      <formula>"Not Tested"</formula>
    </cfRule>
    <cfRule type="cellIs" dxfId="771" priority="27" operator="equal">
      <formula>"In Progress"</formula>
    </cfRule>
    <cfRule type="expression" dxfId="770" priority="28">
      <formula>(LEN($F173)&gt;0)</formula>
    </cfRule>
  </conditionalFormatting>
  <conditionalFormatting sqref="W173:W213">
    <cfRule type="cellIs" dxfId="769" priority="19" operator="equal">
      <formula>"OK"</formula>
    </cfRule>
    <cfRule type="cellIs" dxfId="768" priority="20" operator="equal">
      <formula>"NOK"</formula>
    </cfRule>
    <cfRule type="expression" dxfId="767" priority="21">
      <formula>($J173="In Progress")</formula>
    </cfRule>
    <cfRule type="expression" dxfId="766" priority="22">
      <formula>(LEN($J173)&gt;0)</formula>
    </cfRule>
  </conditionalFormatting>
  <conditionalFormatting sqref="M173:M213">
    <cfRule type="expression" dxfId="765" priority="17">
      <formula>($J173="Already Tested")*(LEN($M173)=0)</formula>
    </cfRule>
    <cfRule type="expression" dxfId="764" priority="18">
      <formula>($J173="Already Tested")</formula>
    </cfRule>
  </conditionalFormatting>
  <conditionalFormatting sqref="J213:J221">
    <cfRule type="cellIs" dxfId="763" priority="11" operator="equal">
      <formula>"OK"</formula>
    </cfRule>
    <cfRule type="cellIs" dxfId="762" priority="12" operator="equal">
      <formula>"NOK"</formula>
    </cfRule>
    <cfRule type="cellIs" dxfId="761" priority="13" operator="equal">
      <formula>"Already Tested"</formula>
    </cfRule>
    <cfRule type="cellIs" dxfId="760" priority="14" operator="equal">
      <formula>"Not Tested"</formula>
    </cfRule>
    <cfRule type="cellIs" dxfId="759" priority="15" operator="equal">
      <formula>"In Progress"</formula>
    </cfRule>
    <cfRule type="expression" dxfId="758" priority="16">
      <formula>(LEN($F213)&gt;0)</formula>
    </cfRule>
  </conditionalFormatting>
  <conditionalFormatting sqref="W213:W221">
    <cfRule type="cellIs" dxfId="757" priority="7" operator="equal">
      <formula>"OK"</formula>
    </cfRule>
    <cfRule type="cellIs" dxfId="756" priority="8" operator="equal">
      <formula>"NOK"</formula>
    </cfRule>
    <cfRule type="expression" dxfId="755" priority="9">
      <formula>($J213="In Progress")</formula>
    </cfRule>
    <cfRule type="expression" dxfId="754" priority="10">
      <formula>(LEN($J213)&gt;0)</formula>
    </cfRule>
  </conditionalFormatting>
  <conditionalFormatting sqref="M213:M221">
    <cfRule type="expression" dxfId="753" priority="5">
      <formula>($J213="Already Tested")*(LEN($M213)=0)</formula>
    </cfRule>
    <cfRule type="expression" dxfId="752" priority="6">
      <formula>($J213="Already Tested")</formula>
    </cfRule>
  </conditionalFormatting>
  <conditionalFormatting sqref="O95:O493">
    <cfRule type="cellIs" dxfId="751" priority="92" operator="equal">
      <formula>"OK"</formula>
    </cfRule>
    <cfRule type="cellIs" dxfId="750" priority="93" operator="equal">
      <formula>"fixed"</formula>
    </cfRule>
    <cfRule type="cellIs" dxfId="749" priority="94" operator="equal">
      <formula>"NOK"</formula>
    </cfRule>
    <cfRule type="expression" dxfId="748" priority="95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89A159-2F4C-4D20-AB2E-445E5271F9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63" id="{285F0A37-906E-4A98-A24A-30D2FAC6AFFC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4" id="{35485E50-2C94-4208-871A-3A166C607107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Overview!B24</f>
        <v>Electrical Functional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14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120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121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{45E9E5BD-AD02-4DD0-8CEA-F4F272C27D8D}</x14:id>
        </ext>
      </extLst>
    </cfRule>
  </conditionalFormatting>
  <conditionalFormatting sqref="J233:J494 J222:J224 J95:J174">
    <cfRule type="cellIs" dxfId="747" priority="62" operator="equal">
      <formula>"OK"</formula>
    </cfRule>
    <cfRule type="cellIs" dxfId="746" priority="63" operator="equal">
      <formula>"NOK"</formula>
    </cfRule>
    <cfRule type="cellIs" dxfId="745" priority="64" operator="equal">
      <formula>"Already Tested"</formula>
    </cfRule>
    <cfRule type="cellIs" dxfId="744" priority="65" operator="equal">
      <formula>"Not Tested"</formula>
    </cfRule>
    <cfRule type="cellIs" dxfId="743" priority="66" operator="equal">
      <formula>"In Progress"</formula>
    </cfRule>
    <cfRule type="expression" dxfId="742" priority="67">
      <formula>(LEN($F95)&gt;0)</formula>
    </cfRule>
  </conditionalFormatting>
  <conditionalFormatting sqref="W233:W494 W222:W224 W95:W174">
    <cfRule type="cellIs" dxfId="741" priority="39" operator="equal">
      <formula>"OK"</formula>
    </cfRule>
    <cfRule type="cellIs" dxfId="740" priority="59" operator="equal">
      <formula>"NOK"</formula>
    </cfRule>
    <cfRule type="expression" dxfId="739" priority="60">
      <formula>($J95="In Progress")</formula>
    </cfRule>
    <cfRule type="expression" dxfId="738" priority="61">
      <formula>(LEN($J95)&gt;0)</formula>
    </cfRule>
  </conditionalFormatting>
  <conditionalFormatting sqref="M48:N69">
    <cfRule type="expression" dxfId="737" priority="52">
      <formula>($M48=3)</formula>
    </cfRule>
    <cfRule type="expression" dxfId="736" priority="53">
      <formula>($M48=2)</formula>
    </cfRule>
    <cfRule type="expression" dxfId="735" priority="54">
      <formula>($M48=1)</formula>
    </cfRule>
    <cfRule type="expression" dxfId="734" priority="55">
      <formula>($M48=0)</formula>
    </cfRule>
  </conditionalFormatting>
  <conditionalFormatting sqref="M47:N47">
    <cfRule type="expression" dxfId="733" priority="48">
      <formula>(M69=3)</formula>
    </cfRule>
    <cfRule type="expression" dxfId="732" priority="49">
      <formula>(M69=2)</formula>
    </cfRule>
    <cfRule type="expression" dxfId="731" priority="50">
      <formula>(M69=1)</formula>
    </cfRule>
    <cfRule type="expression" dxfId="730" priority="51">
      <formula>(M69=0)</formula>
    </cfRule>
  </conditionalFormatting>
  <conditionalFormatting sqref="O47:P47">
    <cfRule type="expression" dxfId="729" priority="44">
      <formula>(O69=3)</formula>
    </cfRule>
    <cfRule type="expression" dxfId="728" priority="45">
      <formula>(O69=2)</formula>
    </cfRule>
    <cfRule type="expression" dxfId="727" priority="46">
      <formula>(O69=1)</formula>
    </cfRule>
    <cfRule type="expression" dxfId="726" priority="47">
      <formula>(O69=0)</formula>
    </cfRule>
  </conditionalFormatting>
  <conditionalFormatting sqref="O48:P69">
    <cfRule type="expression" dxfId="725" priority="41">
      <formula>($O48=3)</formula>
    </cfRule>
    <cfRule type="expression" dxfId="724" priority="42">
      <formula>($O48=2)</formula>
    </cfRule>
    <cfRule type="expression" dxfId="723" priority="43">
      <formula>($O48=1)</formula>
    </cfRule>
    <cfRule type="expression" dxfId="722" priority="58">
      <formula>($O48=0)</formula>
    </cfRule>
  </conditionalFormatting>
  <conditionalFormatting sqref="M233:M494 M222:M224 M95:M174">
    <cfRule type="expression" dxfId="721" priority="37">
      <formula>($J95="Already Tested")*(LEN($M95)=0)</formula>
    </cfRule>
    <cfRule type="expression" dxfId="720" priority="38">
      <formula>($J95="Already Tested")</formula>
    </cfRule>
  </conditionalFormatting>
  <conditionalFormatting sqref="J225:J232">
    <cfRule type="cellIs" dxfId="719" priority="31" operator="equal">
      <formula>"OK"</formula>
    </cfRule>
    <cfRule type="cellIs" dxfId="718" priority="32" operator="equal">
      <formula>"NOK"</formula>
    </cfRule>
    <cfRule type="cellIs" dxfId="717" priority="33" operator="equal">
      <formula>"Already Tested"</formula>
    </cfRule>
    <cfRule type="cellIs" dxfId="716" priority="34" operator="equal">
      <formula>"Not Tested"</formula>
    </cfRule>
    <cfRule type="cellIs" dxfId="715" priority="35" operator="equal">
      <formula>"In Progress"</formula>
    </cfRule>
    <cfRule type="expression" dxfId="714" priority="36">
      <formula>(LEN($F225)&gt;0)</formula>
    </cfRule>
  </conditionalFormatting>
  <conditionalFormatting sqref="W225:W232">
    <cfRule type="cellIs" dxfId="713" priority="27" operator="equal">
      <formula>"OK"</formula>
    </cfRule>
    <cfRule type="cellIs" dxfId="712" priority="28" operator="equal">
      <formula>"NOK"</formula>
    </cfRule>
    <cfRule type="expression" dxfId="711" priority="29">
      <formula>($J225="In Progress")</formula>
    </cfRule>
    <cfRule type="expression" dxfId="710" priority="30">
      <formula>(LEN($J225)&gt;0)</formula>
    </cfRule>
  </conditionalFormatting>
  <conditionalFormatting sqref="M225:M232">
    <cfRule type="expression" dxfId="709" priority="25">
      <formula>($J225="Already Tested")*(LEN($M225)=0)</formula>
    </cfRule>
    <cfRule type="expression" dxfId="708" priority="26">
      <formula>($J225="Already Tested")</formula>
    </cfRule>
  </conditionalFormatting>
  <conditionalFormatting sqref="J173:J213">
    <cfRule type="cellIs" dxfId="707" priority="19" operator="equal">
      <formula>"OK"</formula>
    </cfRule>
    <cfRule type="cellIs" dxfId="706" priority="20" operator="equal">
      <formula>"NOK"</formula>
    </cfRule>
    <cfRule type="cellIs" dxfId="705" priority="21" operator="equal">
      <formula>"Already Tested"</formula>
    </cfRule>
    <cfRule type="cellIs" dxfId="704" priority="22" operator="equal">
      <formula>"Not Tested"</formula>
    </cfRule>
    <cfRule type="cellIs" dxfId="703" priority="23" operator="equal">
      <formula>"In Progress"</formula>
    </cfRule>
    <cfRule type="expression" dxfId="702" priority="24">
      <formula>(LEN($F173)&gt;0)</formula>
    </cfRule>
  </conditionalFormatting>
  <conditionalFormatting sqref="W173:W213">
    <cfRule type="cellIs" dxfId="701" priority="15" operator="equal">
      <formula>"OK"</formula>
    </cfRule>
    <cfRule type="cellIs" dxfId="700" priority="16" operator="equal">
      <formula>"NOK"</formula>
    </cfRule>
    <cfRule type="expression" dxfId="699" priority="17">
      <formula>($J173="In Progress")</formula>
    </cfRule>
    <cfRule type="expression" dxfId="698" priority="18">
      <formula>(LEN($J173)&gt;0)</formula>
    </cfRule>
  </conditionalFormatting>
  <conditionalFormatting sqref="M173:M213">
    <cfRule type="expression" dxfId="697" priority="13">
      <formula>($J173="Already Tested")*(LEN($M173)=0)</formula>
    </cfRule>
    <cfRule type="expression" dxfId="696" priority="14">
      <formula>($J173="Already Tested")</formula>
    </cfRule>
  </conditionalFormatting>
  <conditionalFormatting sqref="J213:J221">
    <cfRule type="cellIs" dxfId="695" priority="7" operator="equal">
      <formula>"OK"</formula>
    </cfRule>
    <cfRule type="cellIs" dxfId="694" priority="8" operator="equal">
      <formula>"NOK"</formula>
    </cfRule>
    <cfRule type="cellIs" dxfId="693" priority="9" operator="equal">
      <formula>"Already Tested"</formula>
    </cfRule>
    <cfRule type="cellIs" dxfId="692" priority="10" operator="equal">
      <formula>"Not Tested"</formula>
    </cfRule>
    <cfRule type="cellIs" dxfId="691" priority="11" operator="equal">
      <formula>"In Progress"</formula>
    </cfRule>
    <cfRule type="expression" dxfId="690" priority="12">
      <formula>(LEN($F213)&gt;0)</formula>
    </cfRule>
  </conditionalFormatting>
  <conditionalFormatting sqref="W213:W221">
    <cfRule type="cellIs" dxfId="689" priority="3" operator="equal">
      <formula>"OK"</formula>
    </cfRule>
    <cfRule type="cellIs" dxfId="688" priority="4" operator="equal">
      <formula>"NOK"</formula>
    </cfRule>
    <cfRule type="expression" dxfId="687" priority="5">
      <formula>($J213="In Progress")</formula>
    </cfRule>
    <cfRule type="expression" dxfId="686" priority="6">
      <formula>(LEN($J213)&gt;0)</formula>
    </cfRule>
  </conditionalFormatting>
  <conditionalFormatting sqref="M213:M221">
    <cfRule type="expression" dxfId="685" priority="1">
      <formula>($J213="Already Tested")*(LEN($M213)=0)</formula>
    </cfRule>
    <cfRule type="expression" dxfId="684" priority="2">
      <formula>($J213="Already Tested")</formula>
    </cfRule>
  </conditionalFormatting>
  <conditionalFormatting sqref="O95:O493">
    <cfRule type="cellIs" dxfId="683" priority="68" operator="equal">
      <formula>"OK"</formula>
    </cfRule>
    <cfRule type="cellIs" dxfId="682" priority="69" operator="equal">
      <formula>"fixed"</formula>
    </cfRule>
    <cfRule type="cellIs" dxfId="681" priority="70" operator="equal">
      <formula>"NOK"</formula>
    </cfRule>
    <cfRule type="expression" dxfId="680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E9E5BD-AD02-4DD0-8CEA-F4F272C27D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2E2E37F8-E080-4795-B267-FBCFAFCE219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8D3F6D8A-937D-4420-8407-8FC2B44ED67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Overview!B25</f>
        <v>Functional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15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122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123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{0505DF38-7963-4762-93F7-F1E0FF051F50}</x14:id>
        </ext>
      </extLst>
    </cfRule>
  </conditionalFormatting>
  <conditionalFormatting sqref="J233:J494 J222:J224 J95:J174">
    <cfRule type="cellIs" dxfId="679" priority="62" operator="equal">
      <formula>"OK"</formula>
    </cfRule>
    <cfRule type="cellIs" dxfId="678" priority="63" operator="equal">
      <formula>"NOK"</formula>
    </cfRule>
    <cfRule type="cellIs" dxfId="677" priority="64" operator="equal">
      <formula>"Already Tested"</formula>
    </cfRule>
    <cfRule type="cellIs" dxfId="676" priority="65" operator="equal">
      <formula>"Not Tested"</formula>
    </cfRule>
    <cfRule type="cellIs" dxfId="675" priority="66" operator="equal">
      <formula>"In Progress"</formula>
    </cfRule>
    <cfRule type="expression" dxfId="674" priority="67">
      <formula>(LEN($F95)&gt;0)</formula>
    </cfRule>
  </conditionalFormatting>
  <conditionalFormatting sqref="W233:W494 W222:W224 W95:W174">
    <cfRule type="cellIs" dxfId="673" priority="39" operator="equal">
      <formula>"OK"</formula>
    </cfRule>
    <cfRule type="cellIs" dxfId="672" priority="59" operator="equal">
      <formula>"NOK"</formula>
    </cfRule>
    <cfRule type="expression" dxfId="671" priority="60">
      <formula>($J95="In Progress")</formula>
    </cfRule>
    <cfRule type="expression" dxfId="670" priority="61">
      <formula>(LEN($J95)&gt;0)</formula>
    </cfRule>
  </conditionalFormatting>
  <conditionalFormatting sqref="M48:N69">
    <cfRule type="expression" dxfId="669" priority="52">
      <formula>($M48=3)</formula>
    </cfRule>
    <cfRule type="expression" dxfId="668" priority="53">
      <formula>($M48=2)</formula>
    </cfRule>
    <cfRule type="expression" dxfId="667" priority="54">
      <formula>($M48=1)</formula>
    </cfRule>
    <cfRule type="expression" dxfId="666" priority="55">
      <formula>($M48=0)</formula>
    </cfRule>
  </conditionalFormatting>
  <conditionalFormatting sqref="M47:N47">
    <cfRule type="expression" dxfId="665" priority="48">
      <formula>(M69=3)</formula>
    </cfRule>
    <cfRule type="expression" dxfId="664" priority="49">
      <formula>(M69=2)</formula>
    </cfRule>
    <cfRule type="expression" dxfId="663" priority="50">
      <formula>(M69=1)</formula>
    </cfRule>
    <cfRule type="expression" dxfId="662" priority="51">
      <formula>(M69=0)</formula>
    </cfRule>
  </conditionalFormatting>
  <conditionalFormatting sqref="O47:P47">
    <cfRule type="expression" dxfId="661" priority="44">
      <formula>(O69=3)</formula>
    </cfRule>
    <cfRule type="expression" dxfId="660" priority="45">
      <formula>(O69=2)</formula>
    </cfRule>
    <cfRule type="expression" dxfId="659" priority="46">
      <formula>(O69=1)</formula>
    </cfRule>
    <cfRule type="expression" dxfId="658" priority="47">
      <formula>(O69=0)</formula>
    </cfRule>
  </conditionalFormatting>
  <conditionalFormatting sqref="O48:P69">
    <cfRule type="expression" dxfId="657" priority="41">
      <formula>($O48=3)</formula>
    </cfRule>
    <cfRule type="expression" dxfId="656" priority="42">
      <formula>($O48=2)</formula>
    </cfRule>
    <cfRule type="expression" dxfId="655" priority="43">
      <formula>($O48=1)</formula>
    </cfRule>
    <cfRule type="expression" dxfId="654" priority="58">
      <formula>($O48=0)</formula>
    </cfRule>
  </conditionalFormatting>
  <conditionalFormatting sqref="M233:M494 M222:M224 M95:M174">
    <cfRule type="expression" dxfId="653" priority="37">
      <formula>($J95="Already Tested")*(LEN($M95)=0)</formula>
    </cfRule>
    <cfRule type="expression" dxfId="652" priority="38">
      <formula>($J95="Already Tested")</formula>
    </cfRule>
  </conditionalFormatting>
  <conditionalFormatting sqref="J225:J232">
    <cfRule type="cellIs" dxfId="651" priority="31" operator="equal">
      <formula>"OK"</formula>
    </cfRule>
    <cfRule type="cellIs" dxfId="650" priority="32" operator="equal">
      <formula>"NOK"</formula>
    </cfRule>
    <cfRule type="cellIs" dxfId="649" priority="33" operator="equal">
      <formula>"Already Tested"</formula>
    </cfRule>
    <cfRule type="cellIs" dxfId="648" priority="34" operator="equal">
      <formula>"Not Tested"</formula>
    </cfRule>
    <cfRule type="cellIs" dxfId="647" priority="35" operator="equal">
      <formula>"In Progress"</formula>
    </cfRule>
    <cfRule type="expression" dxfId="646" priority="36">
      <formula>(LEN($F225)&gt;0)</formula>
    </cfRule>
  </conditionalFormatting>
  <conditionalFormatting sqref="W225:W232">
    <cfRule type="cellIs" dxfId="645" priority="27" operator="equal">
      <formula>"OK"</formula>
    </cfRule>
    <cfRule type="cellIs" dxfId="644" priority="28" operator="equal">
      <formula>"NOK"</formula>
    </cfRule>
    <cfRule type="expression" dxfId="643" priority="29">
      <formula>($J225="In Progress")</formula>
    </cfRule>
    <cfRule type="expression" dxfId="642" priority="30">
      <formula>(LEN($J225)&gt;0)</formula>
    </cfRule>
  </conditionalFormatting>
  <conditionalFormatting sqref="M225:M232">
    <cfRule type="expression" dxfId="641" priority="25">
      <formula>($J225="Already Tested")*(LEN($M225)=0)</formula>
    </cfRule>
    <cfRule type="expression" dxfId="640" priority="26">
      <formula>($J225="Already Tested")</formula>
    </cfRule>
  </conditionalFormatting>
  <conditionalFormatting sqref="J173:J213">
    <cfRule type="cellIs" dxfId="639" priority="19" operator="equal">
      <formula>"OK"</formula>
    </cfRule>
    <cfRule type="cellIs" dxfId="638" priority="20" operator="equal">
      <formula>"NOK"</formula>
    </cfRule>
    <cfRule type="cellIs" dxfId="637" priority="21" operator="equal">
      <formula>"Already Tested"</formula>
    </cfRule>
    <cfRule type="cellIs" dxfId="636" priority="22" operator="equal">
      <formula>"Not Tested"</formula>
    </cfRule>
    <cfRule type="cellIs" dxfId="635" priority="23" operator="equal">
      <formula>"In Progress"</formula>
    </cfRule>
    <cfRule type="expression" dxfId="634" priority="24">
      <formula>(LEN($F173)&gt;0)</formula>
    </cfRule>
  </conditionalFormatting>
  <conditionalFormatting sqref="W173:W213">
    <cfRule type="cellIs" dxfId="633" priority="15" operator="equal">
      <formula>"OK"</formula>
    </cfRule>
    <cfRule type="cellIs" dxfId="632" priority="16" operator="equal">
      <formula>"NOK"</formula>
    </cfRule>
    <cfRule type="expression" dxfId="631" priority="17">
      <formula>($J173="In Progress")</formula>
    </cfRule>
    <cfRule type="expression" dxfId="630" priority="18">
      <formula>(LEN($J173)&gt;0)</formula>
    </cfRule>
  </conditionalFormatting>
  <conditionalFormatting sqref="M173:M213">
    <cfRule type="expression" dxfId="629" priority="13">
      <formula>($J173="Already Tested")*(LEN($M173)=0)</formula>
    </cfRule>
    <cfRule type="expression" dxfId="628" priority="14">
      <formula>($J173="Already Tested")</formula>
    </cfRule>
  </conditionalFormatting>
  <conditionalFormatting sqref="J213:J221">
    <cfRule type="cellIs" dxfId="627" priority="7" operator="equal">
      <formula>"OK"</formula>
    </cfRule>
    <cfRule type="cellIs" dxfId="626" priority="8" operator="equal">
      <formula>"NOK"</formula>
    </cfRule>
    <cfRule type="cellIs" dxfId="625" priority="9" operator="equal">
      <formula>"Already Tested"</formula>
    </cfRule>
    <cfRule type="cellIs" dxfId="624" priority="10" operator="equal">
      <formula>"Not Tested"</formula>
    </cfRule>
    <cfRule type="cellIs" dxfId="623" priority="11" operator="equal">
      <formula>"In Progress"</formula>
    </cfRule>
    <cfRule type="expression" dxfId="622" priority="12">
      <formula>(LEN($F213)&gt;0)</formula>
    </cfRule>
  </conditionalFormatting>
  <conditionalFormatting sqref="W213:W221">
    <cfRule type="cellIs" dxfId="621" priority="3" operator="equal">
      <formula>"OK"</formula>
    </cfRule>
    <cfRule type="cellIs" dxfId="620" priority="4" operator="equal">
      <formula>"NOK"</formula>
    </cfRule>
    <cfRule type="expression" dxfId="619" priority="5">
      <formula>($J213="In Progress")</formula>
    </cfRule>
    <cfRule type="expression" dxfId="618" priority="6">
      <formula>(LEN($J213)&gt;0)</formula>
    </cfRule>
  </conditionalFormatting>
  <conditionalFormatting sqref="M213:M221">
    <cfRule type="expression" dxfId="617" priority="1">
      <formula>($J213="Already Tested")*(LEN($M213)=0)</formula>
    </cfRule>
    <cfRule type="expression" dxfId="616" priority="2">
      <formula>($J213="Already Tested")</formula>
    </cfRule>
  </conditionalFormatting>
  <conditionalFormatting sqref="O95:O493">
    <cfRule type="cellIs" dxfId="615" priority="68" operator="equal">
      <formula>"OK"</formula>
    </cfRule>
    <cfRule type="cellIs" dxfId="614" priority="69" operator="equal">
      <formula>"fixed"</formula>
    </cfRule>
    <cfRule type="cellIs" dxfId="613" priority="70" operator="equal">
      <formula>"NOK"</formula>
    </cfRule>
    <cfRule type="expression" dxfId="612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05DF38-7963-4762-93F7-F1E0FF051F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F0F22101-F062-46CF-A5C2-BA366091A1C6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A422CF95-6455-4F4C-A505-B1C5F726D42C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Overview!B26</f>
        <v>Lifetime Estimation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16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124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125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{3C368E2B-1D35-4C51-B861-41E32CD02943}</x14:id>
        </ext>
      </extLst>
    </cfRule>
  </conditionalFormatting>
  <conditionalFormatting sqref="J233:J494 J222:J224 J95:J174">
    <cfRule type="cellIs" dxfId="611" priority="62" operator="equal">
      <formula>"OK"</formula>
    </cfRule>
    <cfRule type="cellIs" dxfId="610" priority="63" operator="equal">
      <formula>"NOK"</formula>
    </cfRule>
    <cfRule type="cellIs" dxfId="609" priority="64" operator="equal">
      <formula>"Already Tested"</formula>
    </cfRule>
    <cfRule type="cellIs" dxfId="608" priority="65" operator="equal">
      <formula>"Not Tested"</formula>
    </cfRule>
    <cfRule type="cellIs" dxfId="607" priority="66" operator="equal">
      <formula>"In Progress"</formula>
    </cfRule>
    <cfRule type="expression" dxfId="606" priority="67">
      <formula>(LEN($F95)&gt;0)</formula>
    </cfRule>
  </conditionalFormatting>
  <conditionalFormatting sqref="W233:W494 W222:W224 W95:W174">
    <cfRule type="cellIs" dxfId="605" priority="39" operator="equal">
      <formula>"OK"</formula>
    </cfRule>
    <cfRule type="cellIs" dxfId="604" priority="59" operator="equal">
      <formula>"NOK"</formula>
    </cfRule>
    <cfRule type="expression" dxfId="603" priority="60">
      <formula>($J95="In Progress")</formula>
    </cfRule>
    <cfRule type="expression" dxfId="602" priority="61">
      <formula>(LEN($J95)&gt;0)</formula>
    </cfRule>
  </conditionalFormatting>
  <conditionalFormatting sqref="M48:N69">
    <cfRule type="expression" dxfId="601" priority="52">
      <formula>($M48=3)</formula>
    </cfRule>
    <cfRule type="expression" dxfId="600" priority="53">
      <formula>($M48=2)</formula>
    </cfRule>
    <cfRule type="expression" dxfId="599" priority="54">
      <formula>($M48=1)</formula>
    </cfRule>
    <cfRule type="expression" dxfId="598" priority="55">
      <formula>($M48=0)</formula>
    </cfRule>
  </conditionalFormatting>
  <conditionalFormatting sqref="M47:N47">
    <cfRule type="expression" dxfId="597" priority="48">
      <formula>(M69=3)</formula>
    </cfRule>
    <cfRule type="expression" dxfId="596" priority="49">
      <formula>(M69=2)</formula>
    </cfRule>
    <cfRule type="expression" dxfId="595" priority="50">
      <formula>(M69=1)</formula>
    </cfRule>
    <cfRule type="expression" dxfId="594" priority="51">
      <formula>(M69=0)</formula>
    </cfRule>
  </conditionalFormatting>
  <conditionalFormatting sqref="O47:P47">
    <cfRule type="expression" dxfId="593" priority="44">
      <formula>(O69=3)</formula>
    </cfRule>
    <cfRule type="expression" dxfId="592" priority="45">
      <formula>(O69=2)</formula>
    </cfRule>
    <cfRule type="expression" dxfId="591" priority="46">
      <formula>(O69=1)</formula>
    </cfRule>
    <cfRule type="expression" dxfId="590" priority="47">
      <formula>(O69=0)</formula>
    </cfRule>
  </conditionalFormatting>
  <conditionalFormatting sqref="O48:P69">
    <cfRule type="expression" dxfId="589" priority="41">
      <formula>($O48=3)</formula>
    </cfRule>
    <cfRule type="expression" dxfId="588" priority="42">
      <formula>($O48=2)</formula>
    </cfRule>
    <cfRule type="expression" dxfId="587" priority="43">
      <formula>($O48=1)</formula>
    </cfRule>
    <cfRule type="expression" dxfId="586" priority="58">
      <formula>($O48=0)</formula>
    </cfRule>
  </conditionalFormatting>
  <conditionalFormatting sqref="M233:M494 M222:M224 M95:M174">
    <cfRule type="expression" dxfId="585" priority="37">
      <formula>($J95="Already Tested")*(LEN($M95)=0)</formula>
    </cfRule>
    <cfRule type="expression" dxfId="584" priority="38">
      <formula>($J95="Already Tested")</formula>
    </cfRule>
  </conditionalFormatting>
  <conditionalFormatting sqref="J225:J232">
    <cfRule type="cellIs" dxfId="583" priority="31" operator="equal">
      <formula>"OK"</formula>
    </cfRule>
    <cfRule type="cellIs" dxfId="582" priority="32" operator="equal">
      <formula>"NOK"</formula>
    </cfRule>
    <cfRule type="cellIs" dxfId="581" priority="33" operator="equal">
      <formula>"Already Tested"</formula>
    </cfRule>
    <cfRule type="cellIs" dxfId="580" priority="34" operator="equal">
      <formula>"Not Tested"</formula>
    </cfRule>
    <cfRule type="cellIs" dxfId="579" priority="35" operator="equal">
      <formula>"In Progress"</formula>
    </cfRule>
    <cfRule type="expression" dxfId="578" priority="36">
      <formula>(LEN($F225)&gt;0)</formula>
    </cfRule>
  </conditionalFormatting>
  <conditionalFormatting sqref="W225:W232">
    <cfRule type="cellIs" dxfId="577" priority="27" operator="equal">
      <formula>"OK"</formula>
    </cfRule>
    <cfRule type="cellIs" dxfId="576" priority="28" operator="equal">
      <formula>"NOK"</formula>
    </cfRule>
    <cfRule type="expression" dxfId="575" priority="29">
      <formula>($J225="In Progress")</formula>
    </cfRule>
    <cfRule type="expression" dxfId="574" priority="30">
      <formula>(LEN($J225)&gt;0)</formula>
    </cfRule>
  </conditionalFormatting>
  <conditionalFormatting sqref="M225:M232">
    <cfRule type="expression" dxfId="573" priority="25">
      <formula>($J225="Already Tested")*(LEN($M225)=0)</formula>
    </cfRule>
    <cfRule type="expression" dxfId="572" priority="26">
      <formula>($J225="Already Tested")</formula>
    </cfRule>
  </conditionalFormatting>
  <conditionalFormatting sqref="J173:J213">
    <cfRule type="cellIs" dxfId="571" priority="19" operator="equal">
      <formula>"OK"</formula>
    </cfRule>
    <cfRule type="cellIs" dxfId="570" priority="20" operator="equal">
      <formula>"NOK"</formula>
    </cfRule>
    <cfRule type="cellIs" dxfId="569" priority="21" operator="equal">
      <formula>"Already Tested"</formula>
    </cfRule>
    <cfRule type="cellIs" dxfId="568" priority="22" operator="equal">
      <formula>"Not Tested"</formula>
    </cfRule>
    <cfRule type="cellIs" dxfId="567" priority="23" operator="equal">
      <formula>"In Progress"</formula>
    </cfRule>
    <cfRule type="expression" dxfId="566" priority="24">
      <formula>(LEN($F173)&gt;0)</formula>
    </cfRule>
  </conditionalFormatting>
  <conditionalFormatting sqref="W173:W213">
    <cfRule type="cellIs" dxfId="565" priority="15" operator="equal">
      <formula>"OK"</formula>
    </cfRule>
    <cfRule type="cellIs" dxfId="564" priority="16" operator="equal">
      <formula>"NOK"</formula>
    </cfRule>
    <cfRule type="expression" dxfId="563" priority="17">
      <formula>($J173="In Progress")</formula>
    </cfRule>
    <cfRule type="expression" dxfId="562" priority="18">
      <formula>(LEN($J173)&gt;0)</formula>
    </cfRule>
  </conditionalFormatting>
  <conditionalFormatting sqref="M173:M213">
    <cfRule type="expression" dxfId="561" priority="13">
      <formula>($J173="Already Tested")*(LEN($M173)=0)</formula>
    </cfRule>
    <cfRule type="expression" dxfId="560" priority="14">
      <formula>($J173="Already Tested")</formula>
    </cfRule>
  </conditionalFormatting>
  <conditionalFormatting sqref="J213:J221">
    <cfRule type="cellIs" dxfId="559" priority="7" operator="equal">
      <formula>"OK"</formula>
    </cfRule>
    <cfRule type="cellIs" dxfId="558" priority="8" operator="equal">
      <formula>"NOK"</formula>
    </cfRule>
    <cfRule type="cellIs" dxfId="557" priority="9" operator="equal">
      <formula>"Already Tested"</formula>
    </cfRule>
    <cfRule type="cellIs" dxfId="556" priority="10" operator="equal">
      <formula>"Not Tested"</formula>
    </cfRule>
    <cfRule type="cellIs" dxfId="555" priority="11" operator="equal">
      <formula>"In Progress"</formula>
    </cfRule>
    <cfRule type="expression" dxfId="554" priority="12">
      <formula>(LEN($F213)&gt;0)</formula>
    </cfRule>
  </conditionalFormatting>
  <conditionalFormatting sqref="W213:W221">
    <cfRule type="cellIs" dxfId="553" priority="3" operator="equal">
      <formula>"OK"</formula>
    </cfRule>
    <cfRule type="cellIs" dxfId="552" priority="4" operator="equal">
      <formula>"NOK"</formula>
    </cfRule>
    <cfRule type="expression" dxfId="551" priority="5">
      <formula>($J213="In Progress")</formula>
    </cfRule>
    <cfRule type="expression" dxfId="550" priority="6">
      <formula>(LEN($J213)&gt;0)</formula>
    </cfRule>
  </conditionalFormatting>
  <conditionalFormatting sqref="M213:M221">
    <cfRule type="expression" dxfId="549" priority="1">
      <formula>($J213="Already Tested")*(LEN($M213)=0)</formula>
    </cfRule>
    <cfRule type="expression" dxfId="548" priority="2">
      <formula>($J213="Already Tested")</formula>
    </cfRule>
  </conditionalFormatting>
  <conditionalFormatting sqref="O95:O493">
    <cfRule type="cellIs" dxfId="547" priority="68" operator="equal">
      <formula>"OK"</formula>
    </cfRule>
    <cfRule type="cellIs" dxfId="546" priority="69" operator="equal">
      <formula>"fixed"</formula>
    </cfRule>
    <cfRule type="cellIs" dxfId="545" priority="70" operator="equal">
      <formula>"NOK"</formula>
    </cfRule>
    <cfRule type="expression" dxfId="544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368E2B-1D35-4C51-B861-41E32CD029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CEDF54E3-ACFF-47A8-AE85-F1436364818A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C175328B-C087-4127-AEB1-FC48E08CCB0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Overview!B27</f>
        <v>Environmental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99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x14ac:dyDescent="0.25">
      <c r="C49" s="390" t="s">
        <v>100</v>
      </c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126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146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{7D0D1D6D-503B-4196-8D5E-1400953C609B}</x14:id>
        </ext>
      </extLst>
    </cfRule>
  </conditionalFormatting>
  <conditionalFormatting sqref="J233:J494 J222:J224 J95:J174">
    <cfRule type="cellIs" dxfId="543" priority="62" operator="equal">
      <formula>"OK"</formula>
    </cfRule>
    <cfRule type="cellIs" dxfId="542" priority="63" operator="equal">
      <formula>"NOK"</formula>
    </cfRule>
    <cfRule type="cellIs" dxfId="541" priority="64" operator="equal">
      <formula>"Already Tested"</formula>
    </cfRule>
    <cfRule type="cellIs" dxfId="540" priority="65" operator="equal">
      <formula>"Not Tested"</formula>
    </cfRule>
    <cfRule type="cellIs" dxfId="539" priority="66" operator="equal">
      <formula>"In Progress"</formula>
    </cfRule>
    <cfRule type="expression" dxfId="538" priority="67">
      <formula>(LEN($F95)&gt;0)</formula>
    </cfRule>
  </conditionalFormatting>
  <conditionalFormatting sqref="W233:W494 W222:W224 W95:W174">
    <cfRule type="cellIs" dxfId="537" priority="39" operator="equal">
      <formula>"OK"</formula>
    </cfRule>
    <cfRule type="cellIs" dxfId="536" priority="59" operator="equal">
      <formula>"NOK"</formula>
    </cfRule>
    <cfRule type="expression" dxfId="535" priority="60">
      <formula>($J95="In Progress")</formula>
    </cfRule>
    <cfRule type="expression" dxfId="534" priority="61">
      <formula>(LEN($J95)&gt;0)</formula>
    </cfRule>
  </conditionalFormatting>
  <conditionalFormatting sqref="M48:N69">
    <cfRule type="expression" dxfId="533" priority="52">
      <formula>($M48=3)</formula>
    </cfRule>
    <cfRule type="expression" dxfId="532" priority="53">
      <formula>($M48=2)</formula>
    </cfRule>
    <cfRule type="expression" dxfId="531" priority="54">
      <formula>($M48=1)</formula>
    </cfRule>
    <cfRule type="expression" dxfId="530" priority="55">
      <formula>($M48=0)</formula>
    </cfRule>
  </conditionalFormatting>
  <conditionalFormatting sqref="M47:N47">
    <cfRule type="expression" dxfId="529" priority="48">
      <formula>(M69=3)</formula>
    </cfRule>
    <cfRule type="expression" dxfId="528" priority="49">
      <formula>(M69=2)</formula>
    </cfRule>
    <cfRule type="expression" dxfId="527" priority="50">
      <formula>(M69=1)</formula>
    </cfRule>
    <cfRule type="expression" dxfId="526" priority="51">
      <formula>(M69=0)</formula>
    </cfRule>
  </conditionalFormatting>
  <conditionalFormatting sqref="O47:P47">
    <cfRule type="expression" dxfId="525" priority="44">
      <formula>(O69=3)</formula>
    </cfRule>
    <cfRule type="expression" dxfId="524" priority="45">
      <formula>(O69=2)</formula>
    </cfRule>
    <cfRule type="expression" dxfId="523" priority="46">
      <formula>(O69=1)</formula>
    </cfRule>
    <cfRule type="expression" dxfId="522" priority="47">
      <formula>(O69=0)</formula>
    </cfRule>
  </conditionalFormatting>
  <conditionalFormatting sqref="O48:P69">
    <cfRule type="expression" dxfId="521" priority="41">
      <formula>($O48=3)</formula>
    </cfRule>
    <cfRule type="expression" dxfId="520" priority="42">
      <formula>($O48=2)</formula>
    </cfRule>
    <cfRule type="expression" dxfId="519" priority="43">
      <formula>($O48=1)</formula>
    </cfRule>
    <cfRule type="expression" dxfId="518" priority="58">
      <formula>($O48=0)</formula>
    </cfRule>
  </conditionalFormatting>
  <conditionalFormatting sqref="M233:M494 M222:M224 M95:M174">
    <cfRule type="expression" dxfId="517" priority="37">
      <formula>($J95="Already Tested")*(LEN($M95)=0)</formula>
    </cfRule>
    <cfRule type="expression" dxfId="516" priority="38">
      <formula>($J95="Already Tested")</formula>
    </cfRule>
  </conditionalFormatting>
  <conditionalFormatting sqref="J225:J232">
    <cfRule type="cellIs" dxfId="515" priority="31" operator="equal">
      <formula>"OK"</formula>
    </cfRule>
    <cfRule type="cellIs" dxfId="514" priority="32" operator="equal">
      <formula>"NOK"</formula>
    </cfRule>
    <cfRule type="cellIs" dxfId="513" priority="33" operator="equal">
      <formula>"Already Tested"</formula>
    </cfRule>
    <cfRule type="cellIs" dxfId="512" priority="34" operator="equal">
      <formula>"Not Tested"</formula>
    </cfRule>
    <cfRule type="cellIs" dxfId="511" priority="35" operator="equal">
      <formula>"In Progress"</formula>
    </cfRule>
    <cfRule type="expression" dxfId="510" priority="36">
      <formula>(LEN($F225)&gt;0)</formula>
    </cfRule>
  </conditionalFormatting>
  <conditionalFormatting sqref="W225:W232">
    <cfRule type="cellIs" dxfId="509" priority="27" operator="equal">
      <formula>"OK"</formula>
    </cfRule>
    <cfRule type="cellIs" dxfId="508" priority="28" operator="equal">
      <formula>"NOK"</formula>
    </cfRule>
    <cfRule type="expression" dxfId="507" priority="29">
      <formula>($J225="In Progress")</formula>
    </cfRule>
    <cfRule type="expression" dxfId="506" priority="30">
      <formula>(LEN($J225)&gt;0)</formula>
    </cfRule>
  </conditionalFormatting>
  <conditionalFormatting sqref="M225:M232">
    <cfRule type="expression" dxfId="505" priority="25">
      <formula>($J225="Already Tested")*(LEN($M225)=0)</formula>
    </cfRule>
    <cfRule type="expression" dxfId="504" priority="26">
      <formula>($J225="Already Tested")</formula>
    </cfRule>
  </conditionalFormatting>
  <conditionalFormatting sqref="J173:J213">
    <cfRule type="cellIs" dxfId="503" priority="19" operator="equal">
      <formula>"OK"</formula>
    </cfRule>
    <cfRule type="cellIs" dxfId="502" priority="20" operator="equal">
      <formula>"NOK"</formula>
    </cfRule>
    <cfRule type="cellIs" dxfId="501" priority="21" operator="equal">
      <formula>"Already Tested"</formula>
    </cfRule>
    <cfRule type="cellIs" dxfId="500" priority="22" operator="equal">
      <formula>"Not Tested"</formula>
    </cfRule>
    <cfRule type="cellIs" dxfId="499" priority="23" operator="equal">
      <formula>"In Progress"</formula>
    </cfRule>
    <cfRule type="expression" dxfId="498" priority="24">
      <formula>(LEN($F173)&gt;0)</formula>
    </cfRule>
  </conditionalFormatting>
  <conditionalFormatting sqref="W173:W213">
    <cfRule type="cellIs" dxfId="497" priority="15" operator="equal">
      <formula>"OK"</formula>
    </cfRule>
    <cfRule type="cellIs" dxfId="496" priority="16" operator="equal">
      <formula>"NOK"</formula>
    </cfRule>
    <cfRule type="expression" dxfId="495" priority="17">
      <formula>($J173="In Progress")</formula>
    </cfRule>
    <cfRule type="expression" dxfId="494" priority="18">
      <formula>(LEN($J173)&gt;0)</formula>
    </cfRule>
  </conditionalFormatting>
  <conditionalFormatting sqref="M173:M213">
    <cfRule type="expression" dxfId="493" priority="13">
      <formula>($J173="Already Tested")*(LEN($M173)=0)</formula>
    </cfRule>
    <cfRule type="expression" dxfId="492" priority="14">
      <formula>($J173="Already Tested")</formula>
    </cfRule>
  </conditionalFormatting>
  <conditionalFormatting sqref="J213:J221">
    <cfRule type="cellIs" dxfId="491" priority="7" operator="equal">
      <formula>"OK"</formula>
    </cfRule>
    <cfRule type="cellIs" dxfId="490" priority="8" operator="equal">
      <formula>"NOK"</formula>
    </cfRule>
    <cfRule type="cellIs" dxfId="489" priority="9" operator="equal">
      <formula>"Already Tested"</formula>
    </cfRule>
    <cfRule type="cellIs" dxfId="488" priority="10" operator="equal">
      <formula>"Not Tested"</formula>
    </cfRule>
    <cfRule type="cellIs" dxfId="487" priority="11" operator="equal">
      <formula>"In Progress"</formula>
    </cfRule>
    <cfRule type="expression" dxfId="486" priority="12">
      <formula>(LEN($F213)&gt;0)</formula>
    </cfRule>
  </conditionalFormatting>
  <conditionalFormatting sqref="W213:W221">
    <cfRule type="cellIs" dxfId="485" priority="3" operator="equal">
      <formula>"OK"</formula>
    </cfRule>
    <cfRule type="cellIs" dxfId="484" priority="4" operator="equal">
      <formula>"NOK"</formula>
    </cfRule>
    <cfRule type="expression" dxfId="483" priority="5">
      <formula>($J213="In Progress")</formula>
    </cfRule>
    <cfRule type="expression" dxfId="482" priority="6">
      <formula>(LEN($J213)&gt;0)</formula>
    </cfRule>
  </conditionalFormatting>
  <conditionalFormatting sqref="M213:M221">
    <cfRule type="expression" dxfId="481" priority="1">
      <formula>($J213="Already Tested")*(LEN($M213)=0)</formula>
    </cfRule>
    <cfRule type="expression" dxfId="480" priority="2">
      <formula>($J213="Already Tested")</formula>
    </cfRule>
  </conditionalFormatting>
  <conditionalFormatting sqref="O95:O493">
    <cfRule type="cellIs" dxfId="479" priority="68" operator="equal">
      <formula>"OK"</formula>
    </cfRule>
    <cfRule type="cellIs" dxfId="478" priority="69" operator="equal">
      <formula>"fixed"</formula>
    </cfRule>
    <cfRule type="cellIs" dxfId="477" priority="70" operator="equal">
      <formula>"NOK"</formula>
    </cfRule>
    <cfRule type="expression" dxfId="476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0D1D6D-503B-4196-8D5E-1400953C60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D8BD8CAC-D9F2-48CA-A1F7-552BE3592176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D0F9BC75-45EA-4C77-BF3C-64C7A3BE913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Overview!B28</f>
        <v>EMC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105</v>
      </c>
      <c r="D48" s="415"/>
      <c r="E48" s="85">
        <f>COUNTIFS($D$95:$D$494,$C48,$F$95:$F$494,"=*")</f>
        <v>8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8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>
        <f>IF(E48&gt;0, (F48+(E48-(H48+J48)))/(2*E48), "")</f>
        <v>0</v>
      </c>
      <c r="L48" s="369"/>
      <c r="M48" s="88">
        <f>IF(E48=0,4,IF(H48&gt;0,IF(J48&gt;0,2,1),IF(J48&gt;0,3,0)))</f>
        <v>1</v>
      </c>
      <c r="N48" s="77" t="str">
        <f>IF(E48=0,"List empty",IF(H48&gt;0,IF(J48&gt;0,"Errors found, Tests open","Tests open"),IF(J48&gt;0,"Tests completed, Errors found","Tests completed")))</f>
        <v>Tests open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x14ac:dyDescent="0.25">
      <c r="C49" s="390" t="s">
        <v>113</v>
      </c>
      <c r="D49" s="391"/>
      <c r="E49" s="85">
        <f t="shared" ref="E49:E67" si="0">COUNTIFS($D$95:$D$494,$C49,$F$95:$F$494,"=*")</f>
        <v>11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11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>
        <f t="shared" ref="K49:K68" si="6">IF(E49&gt;0, (F49+(E49-(H49+J49)))/(2*E49), "")</f>
        <v>0</v>
      </c>
      <c r="L49" s="369"/>
      <c r="M49" s="181">
        <f t="shared" ref="M49:M68" si="7">IF(E49=0,4,IF(H49&gt;0,IF(J49&gt;0,2,1),IF(J49&gt;0,3,0)))</f>
        <v>1</v>
      </c>
      <c r="N49" s="182" t="str">
        <f t="shared" ref="N49:N68" si="8">IF(E49=0,"List empty",IF(H49&gt;0,IF(J49&gt;0,"Errors found, Tests open","Tests open"),IF(J49&gt;0,"Tests completed, Errors found","Tests completed")))</f>
        <v>Tests open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x14ac:dyDescent="0.25">
      <c r="C50" s="390" t="s">
        <v>191</v>
      </c>
      <c r="D50" s="391"/>
      <c r="E50" s="85">
        <f t="shared" si="0"/>
        <v>1</v>
      </c>
      <c r="F50" s="53">
        <f t="shared" si="1"/>
        <v>0</v>
      </c>
      <c r="G50" s="54">
        <f t="shared" si="2"/>
        <v>0</v>
      </c>
      <c r="H50" s="212">
        <f t="shared" si="3"/>
        <v>1</v>
      </c>
      <c r="I50" s="213">
        <f t="shared" si="4"/>
        <v>0</v>
      </c>
      <c r="J50" s="78">
        <f t="shared" si="5"/>
        <v>0</v>
      </c>
      <c r="K50" s="368">
        <f t="shared" si="6"/>
        <v>0</v>
      </c>
      <c r="L50" s="369"/>
      <c r="M50" s="181">
        <f t="shared" si="7"/>
        <v>1</v>
      </c>
      <c r="N50" s="182" t="str">
        <f t="shared" si="8"/>
        <v>Tests open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20</v>
      </c>
      <c r="F69" s="79">
        <f t="shared" si="11"/>
        <v>0</v>
      </c>
      <c r="G69" s="80">
        <f t="shared" si="11"/>
        <v>0</v>
      </c>
      <c r="H69" s="81">
        <f t="shared" si="11"/>
        <v>20</v>
      </c>
      <c r="I69" s="82">
        <f t="shared" si="11"/>
        <v>0</v>
      </c>
      <c r="J69" s="87">
        <f t="shared" si="11"/>
        <v>0</v>
      </c>
      <c r="K69" s="422">
        <f>IF(COUNT(K48:K68)&gt;0, AVERAGE(K48:K68), "")</f>
        <v>0</v>
      </c>
      <c r="L69" s="423"/>
      <c r="M69" s="89">
        <f>IF(E69=0,4,IF(COUNTIF(M48:M68,"=3")&gt;0,3,IF(COUNTIF(M48:M68,"=2")&gt;0,2,IF(COUNTIF(M48:M68,"=1")&gt;0,1,0))))</f>
        <v>1</v>
      </c>
      <c r="N69" s="83" t="str">
        <f>IF(E69=0,"List empty",IF(COUNTIF(M48:M68,3)&gt;0,"Errors in Tests",IF(COUNTIF(M48:M68,2)&gt;0,"Errors in Tests, Tests open",IF(COUNTIF(M48:M68,1)&gt;0,"Tests open","Tests completed"))))</f>
        <v>Tests open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127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128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 t="s">
        <v>191</v>
      </c>
      <c r="E95" s="207"/>
      <c r="F95" s="90" t="s">
        <v>158</v>
      </c>
      <c r="G95" s="393" t="s">
        <v>192</v>
      </c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105</v>
      </c>
      <c r="E96" s="252"/>
      <c r="F96" s="91" t="s">
        <v>159</v>
      </c>
      <c r="G96" s="381" t="s">
        <v>193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105</v>
      </c>
      <c r="E97" s="208" t="s">
        <v>97</v>
      </c>
      <c r="F97" s="91" t="s">
        <v>160</v>
      </c>
      <c r="G97" s="381" t="s">
        <v>194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105</v>
      </c>
      <c r="E98" s="208" t="s">
        <v>97</v>
      </c>
      <c r="F98" s="91" t="s">
        <v>161</v>
      </c>
      <c r="G98" s="381" t="s">
        <v>195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105</v>
      </c>
      <c r="E99" s="208" t="s">
        <v>97</v>
      </c>
      <c r="F99" s="91" t="s">
        <v>162</v>
      </c>
      <c r="G99" s="381" t="s">
        <v>196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105</v>
      </c>
      <c r="E100" s="208" t="s">
        <v>97</v>
      </c>
      <c r="F100" s="91" t="s">
        <v>163</v>
      </c>
      <c r="G100" s="381" t="s">
        <v>197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105</v>
      </c>
      <c r="E101" s="208" t="s">
        <v>97</v>
      </c>
      <c r="F101" s="91" t="s">
        <v>164</v>
      </c>
      <c r="G101" s="381" t="s">
        <v>198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105</v>
      </c>
      <c r="E102" s="208" t="s">
        <v>97</v>
      </c>
      <c r="F102" s="91" t="s">
        <v>165</v>
      </c>
      <c r="G102" s="381" t="s">
        <v>199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105</v>
      </c>
      <c r="E103" s="208" t="s">
        <v>97</v>
      </c>
      <c r="F103" s="91" t="s">
        <v>166</v>
      </c>
      <c r="G103" s="381" t="s">
        <v>200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113</v>
      </c>
      <c r="E104" s="208" t="s">
        <v>97</v>
      </c>
      <c r="F104" s="91" t="s">
        <v>201</v>
      </c>
      <c r="G104" s="381" t="s">
        <v>212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113</v>
      </c>
      <c r="E105" s="208" t="s">
        <v>97</v>
      </c>
      <c r="F105" s="91" t="s">
        <v>202</v>
      </c>
      <c r="G105" s="381" t="s">
        <v>213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113</v>
      </c>
      <c r="E106" s="208" t="s">
        <v>97</v>
      </c>
      <c r="F106" s="91" t="s">
        <v>203</v>
      </c>
      <c r="G106" s="381" t="s">
        <v>214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113</v>
      </c>
      <c r="E107" s="208" t="s">
        <v>97</v>
      </c>
      <c r="F107" s="91" t="s">
        <v>204</v>
      </c>
      <c r="G107" s="381" t="s">
        <v>215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113</v>
      </c>
      <c r="E108" s="208" t="s">
        <v>97</v>
      </c>
      <c r="F108" s="91" t="s">
        <v>205</v>
      </c>
      <c r="G108" s="381" t="s">
        <v>216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113</v>
      </c>
      <c r="E109" s="208" t="s">
        <v>97</v>
      </c>
      <c r="F109" s="91" t="s">
        <v>206</v>
      </c>
      <c r="G109" s="381" t="s">
        <v>217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113</v>
      </c>
      <c r="E110" s="208" t="s">
        <v>97</v>
      </c>
      <c r="F110" s="91" t="s">
        <v>207</v>
      </c>
      <c r="G110" s="381" t="s">
        <v>218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113</v>
      </c>
      <c r="E111" s="208" t="s">
        <v>97</v>
      </c>
      <c r="F111" s="91" t="s">
        <v>208</v>
      </c>
      <c r="G111" s="381" t="s">
        <v>219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113</v>
      </c>
      <c r="E112" s="208" t="s">
        <v>97</v>
      </c>
      <c r="F112" s="91" t="s">
        <v>209</v>
      </c>
      <c r="G112" s="381" t="s">
        <v>220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113</v>
      </c>
      <c r="E113" s="208" t="s">
        <v>97</v>
      </c>
      <c r="F113" s="91" t="s">
        <v>210</v>
      </c>
      <c r="G113" s="381" t="s">
        <v>221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113</v>
      </c>
      <c r="E114" s="208" t="s">
        <v>97</v>
      </c>
      <c r="F114" s="91" t="s">
        <v>211</v>
      </c>
      <c r="G114" s="381" t="s">
        <v>222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{44778F3E-3160-4E3A-88CD-2B78D02A0A86}</x14:id>
        </ext>
      </extLst>
    </cfRule>
  </conditionalFormatting>
  <conditionalFormatting sqref="J233:J494 J222:J224 J95:J174">
    <cfRule type="cellIs" dxfId="475" priority="62" operator="equal">
      <formula>"OK"</formula>
    </cfRule>
    <cfRule type="cellIs" dxfId="474" priority="63" operator="equal">
      <formula>"NOK"</formula>
    </cfRule>
    <cfRule type="cellIs" dxfId="473" priority="64" operator="equal">
      <formula>"Already Tested"</formula>
    </cfRule>
    <cfRule type="cellIs" dxfId="472" priority="65" operator="equal">
      <formula>"Not Tested"</formula>
    </cfRule>
    <cfRule type="cellIs" dxfId="471" priority="66" operator="equal">
      <formula>"In Progress"</formula>
    </cfRule>
    <cfRule type="expression" dxfId="470" priority="67">
      <formula>(LEN($F95)&gt;0)</formula>
    </cfRule>
  </conditionalFormatting>
  <conditionalFormatting sqref="W233:W494 W222:W224 W95:W174">
    <cfRule type="cellIs" dxfId="469" priority="39" operator="equal">
      <formula>"OK"</formula>
    </cfRule>
    <cfRule type="cellIs" dxfId="468" priority="59" operator="equal">
      <formula>"NOK"</formula>
    </cfRule>
    <cfRule type="expression" dxfId="467" priority="60">
      <formula>($J95="In Progress")</formula>
    </cfRule>
    <cfRule type="expression" dxfId="466" priority="61">
      <formula>(LEN($J95)&gt;0)</formula>
    </cfRule>
  </conditionalFormatting>
  <conditionalFormatting sqref="M48:N69">
    <cfRule type="expression" dxfId="465" priority="52">
      <formula>($M48=3)</formula>
    </cfRule>
    <cfRule type="expression" dxfId="464" priority="53">
      <formula>($M48=2)</formula>
    </cfRule>
    <cfRule type="expression" dxfId="463" priority="54">
      <formula>($M48=1)</formula>
    </cfRule>
    <cfRule type="expression" dxfId="462" priority="55">
      <formula>($M48=0)</formula>
    </cfRule>
  </conditionalFormatting>
  <conditionalFormatting sqref="M47:N47">
    <cfRule type="expression" dxfId="461" priority="48">
      <formula>(M69=3)</formula>
    </cfRule>
    <cfRule type="expression" dxfId="460" priority="49">
      <formula>(M69=2)</formula>
    </cfRule>
    <cfRule type="expression" dxfId="459" priority="50">
      <formula>(M69=1)</formula>
    </cfRule>
    <cfRule type="expression" dxfId="458" priority="51">
      <formula>(M69=0)</formula>
    </cfRule>
  </conditionalFormatting>
  <conditionalFormatting sqref="O47:P47">
    <cfRule type="expression" dxfId="457" priority="44">
      <formula>(O69=3)</formula>
    </cfRule>
    <cfRule type="expression" dxfId="456" priority="45">
      <formula>(O69=2)</formula>
    </cfRule>
    <cfRule type="expression" dxfId="455" priority="46">
      <formula>(O69=1)</formula>
    </cfRule>
    <cfRule type="expression" dxfId="454" priority="47">
      <formula>(O69=0)</formula>
    </cfRule>
  </conditionalFormatting>
  <conditionalFormatting sqref="O48:P69">
    <cfRule type="expression" dxfId="453" priority="41">
      <formula>($O48=3)</formula>
    </cfRule>
    <cfRule type="expression" dxfId="452" priority="42">
      <formula>($O48=2)</formula>
    </cfRule>
    <cfRule type="expression" dxfId="451" priority="43">
      <formula>($O48=1)</formula>
    </cfRule>
    <cfRule type="expression" dxfId="450" priority="58">
      <formula>($O48=0)</formula>
    </cfRule>
  </conditionalFormatting>
  <conditionalFormatting sqref="M233:M494 M222:M224 M95:M174">
    <cfRule type="expression" dxfId="449" priority="37">
      <formula>($J95="Already Tested")*(LEN($M95)=0)</formula>
    </cfRule>
    <cfRule type="expression" dxfId="448" priority="38">
      <formula>($J95="Already Tested")</formula>
    </cfRule>
  </conditionalFormatting>
  <conditionalFormatting sqref="J225:J232">
    <cfRule type="cellIs" dxfId="447" priority="31" operator="equal">
      <formula>"OK"</formula>
    </cfRule>
    <cfRule type="cellIs" dxfId="446" priority="32" operator="equal">
      <formula>"NOK"</formula>
    </cfRule>
    <cfRule type="cellIs" dxfId="445" priority="33" operator="equal">
      <formula>"Already Tested"</formula>
    </cfRule>
    <cfRule type="cellIs" dxfId="444" priority="34" operator="equal">
      <formula>"Not Tested"</formula>
    </cfRule>
    <cfRule type="cellIs" dxfId="443" priority="35" operator="equal">
      <formula>"In Progress"</formula>
    </cfRule>
    <cfRule type="expression" dxfId="442" priority="36">
      <formula>(LEN($F225)&gt;0)</formula>
    </cfRule>
  </conditionalFormatting>
  <conditionalFormatting sqref="W225:W232">
    <cfRule type="cellIs" dxfId="441" priority="27" operator="equal">
      <formula>"OK"</formula>
    </cfRule>
    <cfRule type="cellIs" dxfId="440" priority="28" operator="equal">
      <formula>"NOK"</formula>
    </cfRule>
    <cfRule type="expression" dxfId="439" priority="29">
      <formula>($J225="In Progress")</formula>
    </cfRule>
    <cfRule type="expression" dxfId="438" priority="30">
      <formula>(LEN($J225)&gt;0)</formula>
    </cfRule>
  </conditionalFormatting>
  <conditionalFormatting sqref="M225:M232">
    <cfRule type="expression" dxfId="437" priority="25">
      <formula>($J225="Already Tested")*(LEN($M225)=0)</formula>
    </cfRule>
    <cfRule type="expression" dxfId="436" priority="26">
      <formula>($J225="Already Tested")</formula>
    </cfRule>
  </conditionalFormatting>
  <conditionalFormatting sqref="J173:J213">
    <cfRule type="cellIs" dxfId="435" priority="19" operator="equal">
      <formula>"OK"</formula>
    </cfRule>
    <cfRule type="cellIs" dxfId="434" priority="20" operator="equal">
      <formula>"NOK"</formula>
    </cfRule>
    <cfRule type="cellIs" dxfId="433" priority="21" operator="equal">
      <formula>"Already Tested"</formula>
    </cfRule>
    <cfRule type="cellIs" dxfId="432" priority="22" operator="equal">
      <formula>"Not Tested"</formula>
    </cfRule>
    <cfRule type="cellIs" dxfId="431" priority="23" operator="equal">
      <formula>"In Progress"</formula>
    </cfRule>
    <cfRule type="expression" dxfId="430" priority="24">
      <formula>(LEN($F173)&gt;0)</formula>
    </cfRule>
  </conditionalFormatting>
  <conditionalFormatting sqref="W173:W213">
    <cfRule type="cellIs" dxfId="429" priority="15" operator="equal">
      <formula>"OK"</formula>
    </cfRule>
    <cfRule type="cellIs" dxfId="428" priority="16" operator="equal">
      <formula>"NOK"</formula>
    </cfRule>
    <cfRule type="expression" dxfId="427" priority="17">
      <formula>($J173="In Progress")</formula>
    </cfRule>
    <cfRule type="expression" dxfId="426" priority="18">
      <formula>(LEN($J173)&gt;0)</formula>
    </cfRule>
  </conditionalFormatting>
  <conditionalFormatting sqref="M173:M213">
    <cfRule type="expression" dxfId="425" priority="13">
      <formula>($J173="Already Tested")*(LEN($M173)=0)</formula>
    </cfRule>
    <cfRule type="expression" dxfId="424" priority="14">
      <formula>($J173="Already Tested")</formula>
    </cfRule>
  </conditionalFormatting>
  <conditionalFormatting sqref="J213:J221">
    <cfRule type="cellIs" dxfId="423" priority="7" operator="equal">
      <formula>"OK"</formula>
    </cfRule>
    <cfRule type="cellIs" dxfId="422" priority="8" operator="equal">
      <formula>"NOK"</formula>
    </cfRule>
    <cfRule type="cellIs" dxfId="421" priority="9" operator="equal">
      <formula>"Already Tested"</formula>
    </cfRule>
    <cfRule type="cellIs" dxfId="420" priority="10" operator="equal">
      <formula>"Not Tested"</formula>
    </cfRule>
    <cfRule type="cellIs" dxfId="419" priority="11" operator="equal">
      <formula>"In Progress"</formula>
    </cfRule>
    <cfRule type="expression" dxfId="418" priority="12">
      <formula>(LEN($F213)&gt;0)</formula>
    </cfRule>
  </conditionalFormatting>
  <conditionalFormatting sqref="W213:W221">
    <cfRule type="cellIs" dxfId="417" priority="3" operator="equal">
      <formula>"OK"</formula>
    </cfRule>
    <cfRule type="cellIs" dxfId="416" priority="4" operator="equal">
      <formula>"NOK"</formula>
    </cfRule>
    <cfRule type="expression" dxfId="415" priority="5">
      <formula>($J213="In Progress")</formula>
    </cfRule>
    <cfRule type="expression" dxfId="414" priority="6">
      <formula>(LEN($J213)&gt;0)</formula>
    </cfRule>
  </conditionalFormatting>
  <conditionalFormatting sqref="M213:M221">
    <cfRule type="expression" dxfId="413" priority="1">
      <formula>($J213="Already Tested")*(LEN($M213)=0)</formula>
    </cfRule>
    <cfRule type="expression" dxfId="412" priority="2">
      <formula>($J213="Already Tested")</formula>
    </cfRule>
  </conditionalFormatting>
  <conditionalFormatting sqref="O95:O493">
    <cfRule type="cellIs" dxfId="411" priority="68" operator="equal">
      <formula>"OK"</formula>
    </cfRule>
    <cfRule type="cellIs" dxfId="410" priority="69" operator="equal">
      <formula>"fixed"</formula>
    </cfRule>
    <cfRule type="cellIs" dxfId="409" priority="70" operator="equal">
      <formula>"NOK"</formula>
    </cfRule>
    <cfRule type="expression" dxfId="408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778F3E-3160-4E3A-88CD-2B78D02A0A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2FF1D675-E72C-4D4E-8657-4969FB1FBBF0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5D3791CB-072C-4184-BE44-4B5FD84ACF9D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Overview!B29</f>
        <v>Risk Analysis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104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147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148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{CCF27DBF-A261-4708-A4DE-63B5021D83A8}</x14:id>
        </ext>
      </extLst>
    </cfRule>
  </conditionalFormatting>
  <conditionalFormatting sqref="J233:J494 J222:J224 J95:J174">
    <cfRule type="cellIs" dxfId="407" priority="62" operator="equal">
      <formula>"OK"</formula>
    </cfRule>
    <cfRule type="cellIs" dxfId="406" priority="63" operator="equal">
      <formula>"NOK"</formula>
    </cfRule>
    <cfRule type="cellIs" dxfId="405" priority="64" operator="equal">
      <formula>"Already Tested"</formula>
    </cfRule>
    <cfRule type="cellIs" dxfId="404" priority="65" operator="equal">
      <formula>"Not Tested"</formula>
    </cfRule>
    <cfRule type="cellIs" dxfId="403" priority="66" operator="equal">
      <formula>"In Progress"</formula>
    </cfRule>
    <cfRule type="expression" dxfId="402" priority="67">
      <formula>(LEN($F95)&gt;0)</formula>
    </cfRule>
  </conditionalFormatting>
  <conditionalFormatting sqref="W233:W494 W222:W224 W95:W174">
    <cfRule type="cellIs" dxfId="401" priority="39" operator="equal">
      <formula>"OK"</formula>
    </cfRule>
    <cfRule type="cellIs" dxfId="400" priority="59" operator="equal">
      <formula>"NOK"</formula>
    </cfRule>
    <cfRule type="expression" dxfId="399" priority="60">
      <formula>($J95="In Progress")</formula>
    </cfRule>
    <cfRule type="expression" dxfId="398" priority="61">
      <formula>(LEN($J95)&gt;0)</formula>
    </cfRule>
  </conditionalFormatting>
  <conditionalFormatting sqref="M48:N69">
    <cfRule type="expression" dxfId="397" priority="52">
      <formula>($M48=3)</formula>
    </cfRule>
    <cfRule type="expression" dxfId="396" priority="53">
      <formula>($M48=2)</formula>
    </cfRule>
    <cfRule type="expression" dxfId="395" priority="54">
      <formula>($M48=1)</formula>
    </cfRule>
    <cfRule type="expression" dxfId="394" priority="55">
      <formula>($M48=0)</formula>
    </cfRule>
  </conditionalFormatting>
  <conditionalFormatting sqref="M47:N47">
    <cfRule type="expression" dxfId="393" priority="48">
      <formula>(M69=3)</formula>
    </cfRule>
    <cfRule type="expression" dxfId="392" priority="49">
      <formula>(M69=2)</formula>
    </cfRule>
    <cfRule type="expression" dxfId="391" priority="50">
      <formula>(M69=1)</formula>
    </cfRule>
    <cfRule type="expression" dxfId="390" priority="51">
      <formula>(M69=0)</formula>
    </cfRule>
  </conditionalFormatting>
  <conditionalFormatting sqref="O47:P47">
    <cfRule type="expression" dxfId="389" priority="44">
      <formula>(O69=3)</formula>
    </cfRule>
    <cfRule type="expression" dxfId="388" priority="45">
      <formula>(O69=2)</formula>
    </cfRule>
    <cfRule type="expression" dxfId="387" priority="46">
      <formula>(O69=1)</formula>
    </cfRule>
    <cfRule type="expression" dxfId="386" priority="47">
      <formula>(O69=0)</formula>
    </cfRule>
  </conditionalFormatting>
  <conditionalFormatting sqref="O48:P69">
    <cfRule type="expression" dxfId="385" priority="41">
      <formula>($O48=3)</formula>
    </cfRule>
    <cfRule type="expression" dxfId="384" priority="42">
      <formula>($O48=2)</formula>
    </cfRule>
    <cfRule type="expression" dxfId="383" priority="43">
      <formula>($O48=1)</formula>
    </cfRule>
    <cfRule type="expression" dxfId="382" priority="58">
      <formula>($O48=0)</formula>
    </cfRule>
  </conditionalFormatting>
  <conditionalFormatting sqref="M233:M494 M222:M224 M95:M174">
    <cfRule type="expression" dxfId="381" priority="37">
      <formula>($J95="Already Tested")*(LEN($M95)=0)</formula>
    </cfRule>
    <cfRule type="expression" dxfId="380" priority="38">
      <formula>($J95="Already Tested")</formula>
    </cfRule>
  </conditionalFormatting>
  <conditionalFormatting sqref="J225:J232">
    <cfRule type="cellIs" dxfId="379" priority="31" operator="equal">
      <formula>"OK"</formula>
    </cfRule>
    <cfRule type="cellIs" dxfId="378" priority="32" operator="equal">
      <formula>"NOK"</formula>
    </cfRule>
    <cfRule type="cellIs" dxfId="377" priority="33" operator="equal">
      <formula>"Already Tested"</formula>
    </cfRule>
    <cfRule type="cellIs" dxfId="376" priority="34" operator="equal">
      <formula>"Not Tested"</formula>
    </cfRule>
    <cfRule type="cellIs" dxfId="375" priority="35" operator="equal">
      <formula>"In Progress"</formula>
    </cfRule>
    <cfRule type="expression" dxfId="374" priority="36">
      <formula>(LEN($F225)&gt;0)</formula>
    </cfRule>
  </conditionalFormatting>
  <conditionalFormatting sqref="W225:W232">
    <cfRule type="cellIs" dxfId="373" priority="27" operator="equal">
      <formula>"OK"</formula>
    </cfRule>
    <cfRule type="cellIs" dxfId="372" priority="28" operator="equal">
      <formula>"NOK"</formula>
    </cfRule>
    <cfRule type="expression" dxfId="371" priority="29">
      <formula>($J225="In Progress")</formula>
    </cfRule>
    <cfRule type="expression" dxfId="370" priority="30">
      <formula>(LEN($J225)&gt;0)</formula>
    </cfRule>
  </conditionalFormatting>
  <conditionalFormatting sqref="M225:M232">
    <cfRule type="expression" dxfId="369" priority="25">
      <formula>($J225="Already Tested")*(LEN($M225)=0)</formula>
    </cfRule>
    <cfRule type="expression" dxfId="368" priority="26">
      <formula>($J225="Already Tested")</formula>
    </cfRule>
  </conditionalFormatting>
  <conditionalFormatting sqref="J173:J213">
    <cfRule type="cellIs" dxfId="367" priority="19" operator="equal">
      <formula>"OK"</formula>
    </cfRule>
    <cfRule type="cellIs" dxfId="366" priority="20" operator="equal">
      <formula>"NOK"</formula>
    </cfRule>
    <cfRule type="cellIs" dxfId="365" priority="21" operator="equal">
      <formula>"Already Tested"</formula>
    </cfRule>
    <cfRule type="cellIs" dxfId="364" priority="22" operator="equal">
      <formula>"Not Tested"</formula>
    </cfRule>
    <cfRule type="cellIs" dxfId="363" priority="23" operator="equal">
      <formula>"In Progress"</formula>
    </cfRule>
    <cfRule type="expression" dxfId="362" priority="24">
      <formula>(LEN($F173)&gt;0)</formula>
    </cfRule>
  </conditionalFormatting>
  <conditionalFormatting sqref="W173:W213">
    <cfRule type="cellIs" dxfId="361" priority="15" operator="equal">
      <formula>"OK"</formula>
    </cfRule>
    <cfRule type="cellIs" dxfId="360" priority="16" operator="equal">
      <formula>"NOK"</formula>
    </cfRule>
    <cfRule type="expression" dxfId="359" priority="17">
      <formula>($J173="In Progress")</formula>
    </cfRule>
    <cfRule type="expression" dxfId="358" priority="18">
      <formula>(LEN($J173)&gt;0)</formula>
    </cfRule>
  </conditionalFormatting>
  <conditionalFormatting sqref="M173:M213">
    <cfRule type="expression" dxfId="357" priority="13">
      <formula>($J173="Already Tested")*(LEN($M173)=0)</formula>
    </cfRule>
    <cfRule type="expression" dxfId="356" priority="14">
      <formula>($J173="Already Tested")</formula>
    </cfRule>
  </conditionalFormatting>
  <conditionalFormatting sqref="J213:J221">
    <cfRule type="cellIs" dxfId="355" priority="7" operator="equal">
      <formula>"OK"</formula>
    </cfRule>
    <cfRule type="cellIs" dxfId="354" priority="8" operator="equal">
      <formula>"NOK"</formula>
    </cfRule>
    <cfRule type="cellIs" dxfId="353" priority="9" operator="equal">
      <formula>"Already Tested"</formula>
    </cfRule>
    <cfRule type="cellIs" dxfId="352" priority="10" operator="equal">
      <formula>"Not Tested"</formula>
    </cfRule>
    <cfRule type="cellIs" dxfId="351" priority="11" operator="equal">
      <formula>"In Progress"</formula>
    </cfRule>
    <cfRule type="expression" dxfId="350" priority="12">
      <formula>(LEN($F213)&gt;0)</formula>
    </cfRule>
  </conditionalFormatting>
  <conditionalFormatting sqref="W213:W221">
    <cfRule type="cellIs" dxfId="349" priority="3" operator="equal">
      <formula>"OK"</formula>
    </cfRule>
    <cfRule type="cellIs" dxfId="348" priority="4" operator="equal">
      <formula>"NOK"</formula>
    </cfRule>
    <cfRule type="expression" dxfId="347" priority="5">
      <formula>($J213="In Progress")</formula>
    </cfRule>
    <cfRule type="expression" dxfId="346" priority="6">
      <formula>(LEN($J213)&gt;0)</formula>
    </cfRule>
  </conditionalFormatting>
  <conditionalFormatting sqref="M213:M221">
    <cfRule type="expression" dxfId="345" priority="1">
      <formula>($J213="Already Tested")*(LEN($M213)=0)</formula>
    </cfRule>
    <cfRule type="expression" dxfId="344" priority="2">
      <formula>($J213="Already Tested")</formula>
    </cfRule>
  </conditionalFormatting>
  <conditionalFormatting sqref="O95:O493">
    <cfRule type="cellIs" dxfId="343" priority="68" operator="equal">
      <formula>"OK"</formula>
    </cfRule>
    <cfRule type="cellIs" dxfId="342" priority="69" operator="equal">
      <formula>"fixed"</formula>
    </cfRule>
    <cfRule type="cellIs" dxfId="341" priority="70" operator="equal">
      <formula>"NOK"</formula>
    </cfRule>
    <cfRule type="expression" dxfId="340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F27DBF-A261-4708-A4DE-63B5021D83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DC45615A-D632-4271-A956-79E0793B674A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4937019F-CA6D-476C-8C1E-DB4567E88DB0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Overview!B30</f>
        <v>Certification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106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x14ac:dyDescent="0.25">
      <c r="C49" s="390" t="s">
        <v>114</v>
      </c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x14ac:dyDescent="0.25">
      <c r="C50" s="390" t="s">
        <v>129</v>
      </c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x14ac:dyDescent="0.25">
      <c r="C51" s="390" t="s">
        <v>102</v>
      </c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149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150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{DDB62504-9AE1-4BF9-8067-9B2473E9229A}</x14:id>
        </ext>
      </extLst>
    </cfRule>
  </conditionalFormatting>
  <conditionalFormatting sqref="J233:J494 J222:J224 J95:J174">
    <cfRule type="cellIs" dxfId="339" priority="62" operator="equal">
      <formula>"OK"</formula>
    </cfRule>
    <cfRule type="cellIs" dxfId="338" priority="63" operator="equal">
      <formula>"NOK"</formula>
    </cfRule>
    <cfRule type="cellIs" dxfId="337" priority="64" operator="equal">
      <formula>"Already Tested"</formula>
    </cfRule>
    <cfRule type="cellIs" dxfId="336" priority="65" operator="equal">
      <formula>"Not Tested"</formula>
    </cfRule>
    <cfRule type="cellIs" dxfId="335" priority="66" operator="equal">
      <formula>"In Progress"</formula>
    </cfRule>
    <cfRule type="expression" dxfId="334" priority="67">
      <formula>(LEN($F95)&gt;0)</formula>
    </cfRule>
  </conditionalFormatting>
  <conditionalFormatting sqref="W233:W494 W222:W224 W95:W174">
    <cfRule type="cellIs" dxfId="333" priority="39" operator="equal">
      <formula>"OK"</formula>
    </cfRule>
    <cfRule type="cellIs" dxfId="332" priority="59" operator="equal">
      <formula>"NOK"</formula>
    </cfRule>
    <cfRule type="expression" dxfId="331" priority="60">
      <formula>($J95="In Progress")</formula>
    </cfRule>
    <cfRule type="expression" dxfId="330" priority="61">
      <formula>(LEN($J95)&gt;0)</formula>
    </cfRule>
  </conditionalFormatting>
  <conditionalFormatting sqref="M48:N69">
    <cfRule type="expression" dxfId="329" priority="52">
      <formula>($M48=3)</formula>
    </cfRule>
    <cfRule type="expression" dxfId="328" priority="53">
      <formula>($M48=2)</formula>
    </cfRule>
    <cfRule type="expression" dxfId="327" priority="54">
      <formula>($M48=1)</formula>
    </cfRule>
    <cfRule type="expression" dxfId="326" priority="55">
      <formula>($M48=0)</formula>
    </cfRule>
  </conditionalFormatting>
  <conditionalFormatting sqref="M47:N47">
    <cfRule type="expression" dxfId="325" priority="48">
      <formula>(M69=3)</formula>
    </cfRule>
    <cfRule type="expression" dxfId="324" priority="49">
      <formula>(M69=2)</formula>
    </cfRule>
    <cfRule type="expression" dxfId="323" priority="50">
      <formula>(M69=1)</formula>
    </cfRule>
    <cfRule type="expression" dxfId="322" priority="51">
      <formula>(M69=0)</formula>
    </cfRule>
  </conditionalFormatting>
  <conditionalFormatting sqref="O47:P47">
    <cfRule type="expression" dxfId="321" priority="44">
      <formula>(O69=3)</formula>
    </cfRule>
    <cfRule type="expression" dxfId="320" priority="45">
      <formula>(O69=2)</formula>
    </cfRule>
    <cfRule type="expression" dxfId="319" priority="46">
      <formula>(O69=1)</formula>
    </cfRule>
    <cfRule type="expression" dxfId="318" priority="47">
      <formula>(O69=0)</formula>
    </cfRule>
  </conditionalFormatting>
  <conditionalFormatting sqref="O48:P69">
    <cfRule type="expression" dxfId="317" priority="41">
      <formula>($O48=3)</formula>
    </cfRule>
    <cfRule type="expression" dxfId="316" priority="42">
      <formula>($O48=2)</formula>
    </cfRule>
    <cfRule type="expression" dxfId="315" priority="43">
      <formula>($O48=1)</formula>
    </cfRule>
    <cfRule type="expression" dxfId="314" priority="58">
      <formula>($O48=0)</formula>
    </cfRule>
  </conditionalFormatting>
  <conditionalFormatting sqref="M233:M494 M222:M224 M95:M174">
    <cfRule type="expression" dxfId="313" priority="37">
      <formula>($J95="Already Tested")*(LEN($M95)=0)</formula>
    </cfRule>
    <cfRule type="expression" dxfId="312" priority="38">
      <formula>($J95="Already Tested")</formula>
    </cfRule>
  </conditionalFormatting>
  <conditionalFormatting sqref="J225:J232">
    <cfRule type="cellIs" dxfId="311" priority="31" operator="equal">
      <formula>"OK"</formula>
    </cfRule>
    <cfRule type="cellIs" dxfId="310" priority="32" operator="equal">
      <formula>"NOK"</formula>
    </cfRule>
    <cfRule type="cellIs" dxfId="309" priority="33" operator="equal">
      <formula>"Already Tested"</formula>
    </cfRule>
    <cfRule type="cellIs" dxfId="308" priority="34" operator="equal">
      <formula>"Not Tested"</formula>
    </cfRule>
    <cfRule type="cellIs" dxfId="307" priority="35" operator="equal">
      <formula>"In Progress"</formula>
    </cfRule>
    <cfRule type="expression" dxfId="306" priority="36">
      <formula>(LEN($F225)&gt;0)</formula>
    </cfRule>
  </conditionalFormatting>
  <conditionalFormatting sqref="W225:W232">
    <cfRule type="cellIs" dxfId="305" priority="27" operator="equal">
      <formula>"OK"</formula>
    </cfRule>
    <cfRule type="cellIs" dxfId="304" priority="28" operator="equal">
      <formula>"NOK"</formula>
    </cfRule>
    <cfRule type="expression" dxfId="303" priority="29">
      <formula>($J225="In Progress")</formula>
    </cfRule>
    <cfRule type="expression" dxfId="302" priority="30">
      <formula>(LEN($J225)&gt;0)</formula>
    </cfRule>
  </conditionalFormatting>
  <conditionalFormatting sqref="M225:M232">
    <cfRule type="expression" dxfId="301" priority="25">
      <formula>($J225="Already Tested")*(LEN($M225)=0)</formula>
    </cfRule>
    <cfRule type="expression" dxfId="300" priority="26">
      <formula>($J225="Already Tested")</formula>
    </cfRule>
  </conditionalFormatting>
  <conditionalFormatting sqref="J173:J213">
    <cfRule type="cellIs" dxfId="299" priority="19" operator="equal">
      <formula>"OK"</formula>
    </cfRule>
    <cfRule type="cellIs" dxfId="298" priority="20" operator="equal">
      <formula>"NOK"</formula>
    </cfRule>
    <cfRule type="cellIs" dxfId="297" priority="21" operator="equal">
      <formula>"Already Tested"</formula>
    </cfRule>
    <cfRule type="cellIs" dxfId="296" priority="22" operator="equal">
      <formula>"Not Tested"</formula>
    </cfRule>
    <cfRule type="cellIs" dxfId="295" priority="23" operator="equal">
      <formula>"In Progress"</formula>
    </cfRule>
    <cfRule type="expression" dxfId="294" priority="24">
      <formula>(LEN($F173)&gt;0)</formula>
    </cfRule>
  </conditionalFormatting>
  <conditionalFormatting sqref="W173:W213">
    <cfRule type="cellIs" dxfId="293" priority="15" operator="equal">
      <formula>"OK"</formula>
    </cfRule>
    <cfRule type="cellIs" dxfId="292" priority="16" operator="equal">
      <formula>"NOK"</formula>
    </cfRule>
    <cfRule type="expression" dxfId="291" priority="17">
      <formula>($J173="In Progress")</formula>
    </cfRule>
    <cfRule type="expression" dxfId="290" priority="18">
      <formula>(LEN($J173)&gt;0)</formula>
    </cfRule>
  </conditionalFormatting>
  <conditionalFormatting sqref="M173:M213">
    <cfRule type="expression" dxfId="289" priority="13">
      <formula>($J173="Already Tested")*(LEN($M173)=0)</formula>
    </cfRule>
    <cfRule type="expression" dxfId="288" priority="14">
      <formula>($J173="Already Tested")</formula>
    </cfRule>
  </conditionalFormatting>
  <conditionalFormatting sqref="J213:J221">
    <cfRule type="cellIs" dxfId="287" priority="7" operator="equal">
      <formula>"OK"</formula>
    </cfRule>
    <cfRule type="cellIs" dxfId="286" priority="8" operator="equal">
      <formula>"NOK"</formula>
    </cfRule>
    <cfRule type="cellIs" dxfId="285" priority="9" operator="equal">
      <formula>"Already Tested"</formula>
    </cfRule>
    <cfRule type="cellIs" dxfId="284" priority="10" operator="equal">
      <formula>"Not Tested"</formula>
    </cfRule>
    <cfRule type="cellIs" dxfId="283" priority="11" operator="equal">
      <formula>"In Progress"</formula>
    </cfRule>
    <cfRule type="expression" dxfId="282" priority="12">
      <formula>(LEN($F213)&gt;0)</formula>
    </cfRule>
  </conditionalFormatting>
  <conditionalFormatting sqref="W213:W221">
    <cfRule type="cellIs" dxfId="281" priority="3" operator="equal">
      <formula>"OK"</formula>
    </cfRule>
    <cfRule type="cellIs" dxfId="280" priority="4" operator="equal">
      <formula>"NOK"</formula>
    </cfRule>
    <cfRule type="expression" dxfId="279" priority="5">
      <formula>($J213="In Progress")</formula>
    </cfRule>
    <cfRule type="expression" dxfId="278" priority="6">
      <formula>(LEN($J213)&gt;0)</formula>
    </cfRule>
  </conditionalFormatting>
  <conditionalFormatting sqref="M213:M221">
    <cfRule type="expression" dxfId="277" priority="1">
      <formula>($J213="Already Tested")*(LEN($M213)=0)</formula>
    </cfRule>
    <cfRule type="expression" dxfId="276" priority="2">
      <formula>($J213="Already Tested")</formula>
    </cfRule>
  </conditionalFormatting>
  <conditionalFormatting sqref="O95:O493">
    <cfRule type="cellIs" dxfId="275" priority="68" operator="equal">
      <formula>"OK"</formula>
    </cfRule>
    <cfRule type="cellIs" dxfId="274" priority="69" operator="equal">
      <formula>"fixed"</formula>
    </cfRule>
    <cfRule type="cellIs" dxfId="273" priority="70" operator="equal">
      <formula>"NOK"</formula>
    </cfRule>
    <cfRule type="expression" dxfId="272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B62504-9AE1-4BF9-8067-9B2473E92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BF96D37B-9EF7-4914-9F83-6B3E92E8BCC1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83A54B05-A5AC-4B6A-8C40-A7B2D703BEF8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Overview!B31</f>
        <v>Aging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151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152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153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{DC2FB8EF-07BF-4470-B8E1-088894E309B9}</x14:id>
        </ext>
      </extLst>
    </cfRule>
  </conditionalFormatting>
  <conditionalFormatting sqref="J233:J494 J222:J224 J95:J174">
    <cfRule type="cellIs" dxfId="271" priority="62" operator="equal">
      <formula>"OK"</formula>
    </cfRule>
    <cfRule type="cellIs" dxfId="270" priority="63" operator="equal">
      <formula>"NOK"</formula>
    </cfRule>
    <cfRule type="cellIs" dxfId="269" priority="64" operator="equal">
      <formula>"Already Tested"</formula>
    </cfRule>
    <cfRule type="cellIs" dxfId="268" priority="65" operator="equal">
      <formula>"Not Tested"</formula>
    </cfRule>
    <cfRule type="cellIs" dxfId="267" priority="66" operator="equal">
      <formula>"In Progress"</formula>
    </cfRule>
    <cfRule type="expression" dxfId="266" priority="67">
      <formula>(LEN($F95)&gt;0)</formula>
    </cfRule>
  </conditionalFormatting>
  <conditionalFormatting sqref="W233:W494 W222:W224 W95:W174">
    <cfRule type="cellIs" dxfId="265" priority="39" operator="equal">
      <formula>"OK"</formula>
    </cfRule>
    <cfRule type="cellIs" dxfId="264" priority="59" operator="equal">
      <formula>"NOK"</formula>
    </cfRule>
    <cfRule type="expression" dxfId="263" priority="60">
      <formula>($J95="In Progress")</formula>
    </cfRule>
    <cfRule type="expression" dxfId="262" priority="61">
      <formula>(LEN($J95)&gt;0)</formula>
    </cfRule>
  </conditionalFormatting>
  <conditionalFormatting sqref="M48:N69">
    <cfRule type="expression" dxfId="261" priority="52">
      <formula>($M48=3)</formula>
    </cfRule>
    <cfRule type="expression" dxfId="260" priority="53">
      <formula>($M48=2)</formula>
    </cfRule>
    <cfRule type="expression" dxfId="259" priority="54">
      <formula>($M48=1)</formula>
    </cfRule>
    <cfRule type="expression" dxfId="258" priority="55">
      <formula>($M48=0)</formula>
    </cfRule>
  </conditionalFormatting>
  <conditionalFormatting sqref="M47:N47">
    <cfRule type="expression" dxfId="257" priority="48">
      <formula>(M69=3)</formula>
    </cfRule>
    <cfRule type="expression" dxfId="256" priority="49">
      <formula>(M69=2)</formula>
    </cfRule>
    <cfRule type="expression" dxfId="255" priority="50">
      <formula>(M69=1)</formula>
    </cfRule>
    <cfRule type="expression" dxfId="254" priority="51">
      <formula>(M69=0)</formula>
    </cfRule>
  </conditionalFormatting>
  <conditionalFormatting sqref="O47:P47">
    <cfRule type="expression" dxfId="253" priority="44">
      <formula>(O69=3)</formula>
    </cfRule>
    <cfRule type="expression" dxfId="252" priority="45">
      <formula>(O69=2)</formula>
    </cfRule>
    <cfRule type="expression" dxfId="251" priority="46">
      <formula>(O69=1)</formula>
    </cfRule>
    <cfRule type="expression" dxfId="250" priority="47">
      <formula>(O69=0)</formula>
    </cfRule>
  </conditionalFormatting>
  <conditionalFormatting sqref="O48:P69">
    <cfRule type="expression" dxfId="249" priority="41">
      <formula>($O48=3)</formula>
    </cfRule>
    <cfRule type="expression" dxfId="248" priority="42">
      <formula>($O48=2)</formula>
    </cfRule>
    <cfRule type="expression" dxfId="247" priority="43">
      <formula>($O48=1)</formula>
    </cfRule>
    <cfRule type="expression" dxfId="246" priority="58">
      <formula>($O48=0)</formula>
    </cfRule>
  </conditionalFormatting>
  <conditionalFormatting sqref="M233:M494 M222:M224 M95:M174">
    <cfRule type="expression" dxfId="245" priority="37">
      <formula>($J95="Already Tested")*(LEN($M95)=0)</formula>
    </cfRule>
    <cfRule type="expression" dxfId="244" priority="38">
      <formula>($J95="Already Tested")</formula>
    </cfRule>
  </conditionalFormatting>
  <conditionalFormatting sqref="J225:J232">
    <cfRule type="cellIs" dxfId="243" priority="31" operator="equal">
      <formula>"OK"</formula>
    </cfRule>
    <cfRule type="cellIs" dxfId="242" priority="32" operator="equal">
      <formula>"NOK"</formula>
    </cfRule>
    <cfRule type="cellIs" dxfId="241" priority="33" operator="equal">
      <formula>"Already Tested"</formula>
    </cfRule>
    <cfRule type="cellIs" dxfId="240" priority="34" operator="equal">
      <formula>"Not Tested"</formula>
    </cfRule>
    <cfRule type="cellIs" dxfId="239" priority="35" operator="equal">
      <formula>"In Progress"</formula>
    </cfRule>
    <cfRule type="expression" dxfId="238" priority="36">
      <formula>(LEN($F225)&gt;0)</formula>
    </cfRule>
  </conditionalFormatting>
  <conditionalFormatting sqref="W225:W232">
    <cfRule type="cellIs" dxfId="237" priority="27" operator="equal">
      <formula>"OK"</formula>
    </cfRule>
    <cfRule type="cellIs" dxfId="236" priority="28" operator="equal">
      <formula>"NOK"</formula>
    </cfRule>
    <cfRule type="expression" dxfId="235" priority="29">
      <formula>($J225="In Progress")</formula>
    </cfRule>
    <cfRule type="expression" dxfId="234" priority="30">
      <formula>(LEN($J225)&gt;0)</formula>
    </cfRule>
  </conditionalFormatting>
  <conditionalFormatting sqref="M225:M232">
    <cfRule type="expression" dxfId="233" priority="25">
      <formula>($J225="Already Tested")*(LEN($M225)=0)</formula>
    </cfRule>
    <cfRule type="expression" dxfId="232" priority="26">
      <formula>($J225="Already Tested")</formula>
    </cfRule>
  </conditionalFormatting>
  <conditionalFormatting sqref="J173:J213">
    <cfRule type="cellIs" dxfId="231" priority="19" operator="equal">
      <formula>"OK"</formula>
    </cfRule>
    <cfRule type="cellIs" dxfId="230" priority="20" operator="equal">
      <formula>"NOK"</formula>
    </cfRule>
    <cfRule type="cellIs" dxfId="229" priority="21" operator="equal">
      <formula>"Already Tested"</formula>
    </cfRule>
    <cfRule type="cellIs" dxfId="228" priority="22" operator="equal">
      <formula>"Not Tested"</formula>
    </cfRule>
    <cfRule type="cellIs" dxfId="227" priority="23" operator="equal">
      <formula>"In Progress"</formula>
    </cfRule>
    <cfRule type="expression" dxfId="226" priority="24">
      <formula>(LEN($F173)&gt;0)</formula>
    </cfRule>
  </conditionalFormatting>
  <conditionalFormatting sqref="W173:W213">
    <cfRule type="cellIs" dxfId="225" priority="15" operator="equal">
      <formula>"OK"</formula>
    </cfRule>
    <cfRule type="cellIs" dxfId="224" priority="16" operator="equal">
      <formula>"NOK"</formula>
    </cfRule>
    <cfRule type="expression" dxfId="223" priority="17">
      <formula>($J173="In Progress")</formula>
    </cfRule>
    <cfRule type="expression" dxfId="222" priority="18">
      <formula>(LEN($J173)&gt;0)</formula>
    </cfRule>
  </conditionalFormatting>
  <conditionalFormatting sqref="M173:M213">
    <cfRule type="expression" dxfId="221" priority="13">
      <formula>($J173="Already Tested")*(LEN($M173)=0)</formula>
    </cfRule>
    <cfRule type="expression" dxfId="220" priority="14">
      <formula>($J173="Already Tested")</formula>
    </cfRule>
  </conditionalFormatting>
  <conditionalFormatting sqref="J213:J221">
    <cfRule type="cellIs" dxfId="219" priority="7" operator="equal">
      <formula>"OK"</formula>
    </cfRule>
    <cfRule type="cellIs" dxfId="218" priority="8" operator="equal">
      <formula>"NOK"</formula>
    </cfRule>
    <cfRule type="cellIs" dxfId="217" priority="9" operator="equal">
      <formula>"Already Tested"</formula>
    </cfRule>
    <cfRule type="cellIs" dxfId="216" priority="10" operator="equal">
      <formula>"Not Tested"</formula>
    </cfRule>
    <cfRule type="cellIs" dxfId="215" priority="11" operator="equal">
      <formula>"In Progress"</formula>
    </cfRule>
    <cfRule type="expression" dxfId="214" priority="12">
      <formula>(LEN($F213)&gt;0)</formula>
    </cfRule>
  </conditionalFormatting>
  <conditionalFormatting sqref="W213:W221">
    <cfRule type="cellIs" dxfId="213" priority="3" operator="equal">
      <formula>"OK"</formula>
    </cfRule>
    <cfRule type="cellIs" dxfId="212" priority="4" operator="equal">
      <formula>"NOK"</formula>
    </cfRule>
    <cfRule type="expression" dxfId="211" priority="5">
      <formula>($J213="In Progress")</formula>
    </cfRule>
    <cfRule type="expression" dxfId="210" priority="6">
      <formula>(LEN($J213)&gt;0)</formula>
    </cfRule>
  </conditionalFormatting>
  <conditionalFormatting sqref="M213:M221">
    <cfRule type="expression" dxfId="209" priority="1">
      <formula>($J213="Already Tested")*(LEN($M213)=0)</formula>
    </cfRule>
    <cfRule type="expression" dxfId="208" priority="2">
      <formula>($J213="Already Tested")</formula>
    </cfRule>
  </conditionalFormatting>
  <conditionalFormatting sqref="O95:O493">
    <cfRule type="cellIs" dxfId="207" priority="68" operator="equal">
      <formula>"OK"</formula>
    </cfRule>
    <cfRule type="cellIs" dxfId="206" priority="69" operator="equal">
      <formula>"fixed"</formula>
    </cfRule>
    <cfRule type="cellIs" dxfId="205" priority="70" operator="equal">
      <formula>"NOK"</formula>
    </cfRule>
    <cfRule type="expression" dxfId="204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2FB8EF-07BF-4470-B8E1-088894E309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B253D1C9-3617-4C19-B32D-613FF76B8C8B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36CC3A6C-3B81-494D-9F7B-A42955D0F83A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Overview!B32</f>
        <v>Mechanical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101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154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155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{D65D4A47-65FC-41B8-94D7-91F6F9AA6C40}</x14:id>
        </ext>
      </extLst>
    </cfRule>
  </conditionalFormatting>
  <conditionalFormatting sqref="J233:J494 J222:J224 J95:J174">
    <cfRule type="cellIs" dxfId="203" priority="62" operator="equal">
      <formula>"OK"</formula>
    </cfRule>
    <cfRule type="cellIs" dxfId="202" priority="63" operator="equal">
      <formula>"NOK"</formula>
    </cfRule>
    <cfRule type="cellIs" dxfId="201" priority="64" operator="equal">
      <formula>"Already Tested"</formula>
    </cfRule>
    <cfRule type="cellIs" dxfId="200" priority="65" operator="equal">
      <formula>"Not Tested"</formula>
    </cfRule>
    <cfRule type="cellIs" dxfId="199" priority="66" operator="equal">
      <formula>"In Progress"</formula>
    </cfRule>
    <cfRule type="expression" dxfId="198" priority="67">
      <formula>(LEN($F95)&gt;0)</formula>
    </cfRule>
  </conditionalFormatting>
  <conditionalFormatting sqref="W233:W494 W222:W224 W95:W174">
    <cfRule type="cellIs" dxfId="197" priority="39" operator="equal">
      <formula>"OK"</formula>
    </cfRule>
    <cfRule type="cellIs" dxfId="196" priority="59" operator="equal">
      <formula>"NOK"</formula>
    </cfRule>
    <cfRule type="expression" dxfId="195" priority="60">
      <formula>($J95="In Progress")</formula>
    </cfRule>
    <cfRule type="expression" dxfId="194" priority="61">
      <formula>(LEN($J95)&gt;0)</formula>
    </cfRule>
  </conditionalFormatting>
  <conditionalFormatting sqref="M48:N69">
    <cfRule type="expression" dxfId="193" priority="52">
      <formula>($M48=3)</formula>
    </cfRule>
    <cfRule type="expression" dxfId="192" priority="53">
      <formula>($M48=2)</formula>
    </cfRule>
    <cfRule type="expression" dxfId="191" priority="54">
      <formula>($M48=1)</formula>
    </cfRule>
    <cfRule type="expression" dxfId="190" priority="55">
      <formula>($M48=0)</formula>
    </cfRule>
  </conditionalFormatting>
  <conditionalFormatting sqref="M47:N47">
    <cfRule type="expression" dxfId="189" priority="48">
      <formula>(M69=3)</formula>
    </cfRule>
    <cfRule type="expression" dxfId="188" priority="49">
      <formula>(M69=2)</formula>
    </cfRule>
    <cfRule type="expression" dxfId="187" priority="50">
      <formula>(M69=1)</formula>
    </cfRule>
    <cfRule type="expression" dxfId="186" priority="51">
      <formula>(M69=0)</formula>
    </cfRule>
  </conditionalFormatting>
  <conditionalFormatting sqref="O47:P47">
    <cfRule type="expression" dxfId="185" priority="44">
      <formula>(O69=3)</formula>
    </cfRule>
    <cfRule type="expression" dxfId="184" priority="45">
      <formula>(O69=2)</formula>
    </cfRule>
    <cfRule type="expression" dxfId="183" priority="46">
      <formula>(O69=1)</formula>
    </cfRule>
    <cfRule type="expression" dxfId="182" priority="47">
      <formula>(O69=0)</formula>
    </cfRule>
  </conditionalFormatting>
  <conditionalFormatting sqref="O48:P69">
    <cfRule type="expression" dxfId="181" priority="41">
      <formula>($O48=3)</formula>
    </cfRule>
    <cfRule type="expression" dxfId="180" priority="42">
      <formula>($O48=2)</formula>
    </cfRule>
    <cfRule type="expression" dxfId="179" priority="43">
      <formula>($O48=1)</formula>
    </cfRule>
    <cfRule type="expression" dxfId="178" priority="58">
      <formula>($O48=0)</formula>
    </cfRule>
  </conditionalFormatting>
  <conditionalFormatting sqref="M233:M494 M222:M224 M95:M174">
    <cfRule type="expression" dxfId="177" priority="37">
      <formula>($J95="Already Tested")*(LEN($M95)=0)</formula>
    </cfRule>
    <cfRule type="expression" dxfId="176" priority="38">
      <formula>($J95="Already Tested")</formula>
    </cfRule>
  </conditionalFormatting>
  <conditionalFormatting sqref="J225:J232">
    <cfRule type="cellIs" dxfId="175" priority="31" operator="equal">
      <formula>"OK"</formula>
    </cfRule>
    <cfRule type="cellIs" dxfId="174" priority="32" operator="equal">
      <formula>"NOK"</formula>
    </cfRule>
    <cfRule type="cellIs" dxfId="173" priority="33" operator="equal">
      <formula>"Already Tested"</formula>
    </cfRule>
    <cfRule type="cellIs" dxfId="172" priority="34" operator="equal">
      <formula>"Not Tested"</formula>
    </cfRule>
    <cfRule type="cellIs" dxfId="171" priority="35" operator="equal">
      <formula>"In Progress"</formula>
    </cfRule>
    <cfRule type="expression" dxfId="170" priority="36">
      <formula>(LEN($F225)&gt;0)</formula>
    </cfRule>
  </conditionalFormatting>
  <conditionalFormatting sqref="W225:W232">
    <cfRule type="cellIs" dxfId="169" priority="27" operator="equal">
      <formula>"OK"</formula>
    </cfRule>
    <cfRule type="cellIs" dxfId="168" priority="28" operator="equal">
      <formula>"NOK"</formula>
    </cfRule>
    <cfRule type="expression" dxfId="167" priority="29">
      <formula>($J225="In Progress")</formula>
    </cfRule>
    <cfRule type="expression" dxfId="166" priority="30">
      <formula>(LEN($J225)&gt;0)</formula>
    </cfRule>
  </conditionalFormatting>
  <conditionalFormatting sqref="M225:M232">
    <cfRule type="expression" dxfId="165" priority="25">
      <formula>($J225="Already Tested")*(LEN($M225)=0)</formula>
    </cfRule>
    <cfRule type="expression" dxfId="164" priority="26">
      <formula>($J225="Already Tested")</formula>
    </cfRule>
  </conditionalFormatting>
  <conditionalFormatting sqref="J173:J213">
    <cfRule type="cellIs" dxfId="163" priority="19" operator="equal">
      <formula>"OK"</formula>
    </cfRule>
    <cfRule type="cellIs" dxfId="162" priority="20" operator="equal">
      <formula>"NOK"</formula>
    </cfRule>
    <cfRule type="cellIs" dxfId="161" priority="21" operator="equal">
      <formula>"Already Tested"</formula>
    </cfRule>
    <cfRule type="cellIs" dxfId="160" priority="22" operator="equal">
      <formula>"Not Tested"</formula>
    </cfRule>
    <cfRule type="cellIs" dxfId="159" priority="23" operator="equal">
      <formula>"In Progress"</formula>
    </cfRule>
    <cfRule type="expression" dxfId="158" priority="24">
      <formula>(LEN($F173)&gt;0)</formula>
    </cfRule>
  </conditionalFormatting>
  <conditionalFormatting sqref="W173:W213">
    <cfRule type="cellIs" dxfId="157" priority="15" operator="equal">
      <formula>"OK"</formula>
    </cfRule>
    <cfRule type="cellIs" dxfId="156" priority="16" operator="equal">
      <formula>"NOK"</formula>
    </cfRule>
    <cfRule type="expression" dxfId="155" priority="17">
      <formula>($J173="In Progress")</formula>
    </cfRule>
    <cfRule type="expression" dxfId="154" priority="18">
      <formula>(LEN($J173)&gt;0)</formula>
    </cfRule>
  </conditionalFormatting>
  <conditionalFormatting sqref="M173:M213">
    <cfRule type="expression" dxfId="153" priority="13">
      <formula>($J173="Already Tested")*(LEN($M173)=0)</formula>
    </cfRule>
    <cfRule type="expression" dxfId="152" priority="14">
      <formula>($J173="Already Tested")</formula>
    </cfRule>
  </conditionalFormatting>
  <conditionalFormatting sqref="J213:J221">
    <cfRule type="cellIs" dxfId="151" priority="7" operator="equal">
      <formula>"OK"</formula>
    </cfRule>
    <cfRule type="cellIs" dxfId="150" priority="8" operator="equal">
      <formula>"NOK"</formula>
    </cfRule>
    <cfRule type="cellIs" dxfId="149" priority="9" operator="equal">
      <formula>"Already Tested"</formula>
    </cfRule>
    <cfRule type="cellIs" dxfId="148" priority="10" operator="equal">
      <formula>"Not Tested"</formula>
    </cfRule>
    <cfRule type="cellIs" dxfId="147" priority="11" operator="equal">
      <formula>"In Progress"</formula>
    </cfRule>
    <cfRule type="expression" dxfId="146" priority="12">
      <formula>(LEN($F213)&gt;0)</formula>
    </cfRule>
  </conditionalFormatting>
  <conditionalFormatting sqref="W213:W221">
    <cfRule type="cellIs" dxfId="145" priority="3" operator="equal">
      <formula>"OK"</formula>
    </cfRule>
    <cfRule type="cellIs" dxfId="144" priority="4" operator="equal">
      <formula>"NOK"</formula>
    </cfRule>
    <cfRule type="expression" dxfId="143" priority="5">
      <formula>($J213="In Progress")</formula>
    </cfRule>
    <cfRule type="expression" dxfId="142" priority="6">
      <formula>(LEN($J213)&gt;0)</formula>
    </cfRule>
  </conditionalFormatting>
  <conditionalFormatting sqref="M213:M221">
    <cfRule type="expression" dxfId="141" priority="1">
      <formula>($J213="Already Tested")*(LEN($M213)=0)</formula>
    </cfRule>
    <cfRule type="expression" dxfId="140" priority="2">
      <formula>($J213="Already Tested")</formula>
    </cfRule>
  </conditionalFormatting>
  <conditionalFormatting sqref="O95:O493">
    <cfRule type="cellIs" dxfId="139" priority="68" operator="equal">
      <formula>"OK"</formula>
    </cfRule>
    <cfRule type="cellIs" dxfId="138" priority="69" operator="equal">
      <formula>"fixed"</formula>
    </cfRule>
    <cfRule type="cellIs" dxfId="137" priority="70" operator="equal">
      <formula>"NOK"</formula>
    </cfRule>
    <cfRule type="expression" dxfId="136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5D4A47-65FC-41B8-94D7-91F6F9AA6C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188E1543-C5C5-445F-83EF-31008C472F4E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3B853765-8AAF-42C9-B57F-C54465F9E1FA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Overview!B33</f>
        <v>Quality Assurance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18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156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157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{38B29A54-7A1F-49CD-88DD-89F7A6F5A581}</x14:id>
        </ext>
      </extLst>
    </cfRule>
  </conditionalFormatting>
  <conditionalFormatting sqref="J233:J494 J222:J224 J95:J174">
    <cfRule type="cellIs" dxfId="135" priority="62" operator="equal">
      <formula>"OK"</formula>
    </cfRule>
    <cfRule type="cellIs" dxfId="134" priority="63" operator="equal">
      <formula>"NOK"</formula>
    </cfRule>
    <cfRule type="cellIs" dxfId="133" priority="64" operator="equal">
      <formula>"Already Tested"</formula>
    </cfRule>
    <cfRule type="cellIs" dxfId="132" priority="65" operator="equal">
      <formula>"Not Tested"</formula>
    </cfRule>
    <cfRule type="cellIs" dxfId="131" priority="66" operator="equal">
      <formula>"In Progress"</formula>
    </cfRule>
    <cfRule type="expression" dxfId="130" priority="67">
      <formula>(LEN($F95)&gt;0)</formula>
    </cfRule>
  </conditionalFormatting>
  <conditionalFormatting sqref="W233:W494 W222:W224 W95:W174">
    <cfRule type="cellIs" dxfId="129" priority="39" operator="equal">
      <formula>"OK"</formula>
    </cfRule>
    <cfRule type="cellIs" dxfId="128" priority="59" operator="equal">
      <formula>"NOK"</formula>
    </cfRule>
    <cfRule type="expression" dxfId="127" priority="60">
      <formula>($J95="In Progress")</formula>
    </cfRule>
    <cfRule type="expression" dxfId="126" priority="61">
      <formula>(LEN($J95)&gt;0)</formula>
    </cfRule>
  </conditionalFormatting>
  <conditionalFormatting sqref="M48:N69">
    <cfRule type="expression" dxfId="125" priority="52">
      <formula>($M48=3)</formula>
    </cfRule>
    <cfRule type="expression" dxfId="124" priority="53">
      <formula>($M48=2)</formula>
    </cfRule>
    <cfRule type="expression" dxfId="123" priority="54">
      <formula>($M48=1)</formula>
    </cfRule>
    <cfRule type="expression" dxfId="122" priority="55">
      <formula>($M48=0)</formula>
    </cfRule>
  </conditionalFormatting>
  <conditionalFormatting sqref="M47:N47">
    <cfRule type="expression" dxfId="121" priority="48">
      <formula>(M69=3)</formula>
    </cfRule>
    <cfRule type="expression" dxfId="120" priority="49">
      <formula>(M69=2)</formula>
    </cfRule>
    <cfRule type="expression" dxfId="119" priority="50">
      <formula>(M69=1)</formula>
    </cfRule>
    <cfRule type="expression" dxfId="118" priority="51">
      <formula>(M69=0)</formula>
    </cfRule>
  </conditionalFormatting>
  <conditionalFormatting sqref="O47:P47">
    <cfRule type="expression" dxfId="117" priority="44">
      <formula>(O69=3)</formula>
    </cfRule>
    <cfRule type="expression" dxfId="116" priority="45">
      <formula>(O69=2)</formula>
    </cfRule>
    <cfRule type="expression" dxfId="115" priority="46">
      <formula>(O69=1)</formula>
    </cfRule>
    <cfRule type="expression" dxfId="114" priority="47">
      <formula>(O69=0)</formula>
    </cfRule>
  </conditionalFormatting>
  <conditionalFormatting sqref="O48:P69">
    <cfRule type="expression" dxfId="113" priority="41">
      <formula>($O48=3)</formula>
    </cfRule>
    <cfRule type="expression" dxfId="112" priority="42">
      <formula>($O48=2)</formula>
    </cfRule>
    <cfRule type="expression" dxfId="111" priority="43">
      <formula>($O48=1)</formula>
    </cfRule>
    <cfRule type="expression" dxfId="110" priority="58">
      <formula>($O48=0)</formula>
    </cfRule>
  </conditionalFormatting>
  <conditionalFormatting sqref="M233:M494 M222:M224 M95:M174">
    <cfRule type="expression" dxfId="109" priority="37">
      <formula>($J95="Already Tested")*(LEN($M95)=0)</formula>
    </cfRule>
    <cfRule type="expression" dxfId="108" priority="38">
      <formula>($J95="Already Tested")</formula>
    </cfRule>
  </conditionalFormatting>
  <conditionalFormatting sqref="J225:J232">
    <cfRule type="cellIs" dxfId="107" priority="31" operator="equal">
      <formula>"OK"</formula>
    </cfRule>
    <cfRule type="cellIs" dxfId="106" priority="32" operator="equal">
      <formula>"NOK"</formula>
    </cfRule>
    <cfRule type="cellIs" dxfId="105" priority="33" operator="equal">
      <formula>"Already Tested"</formula>
    </cfRule>
    <cfRule type="cellIs" dxfId="104" priority="34" operator="equal">
      <formula>"Not Tested"</formula>
    </cfRule>
    <cfRule type="cellIs" dxfId="103" priority="35" operator="equal">
      <formula>"In Progress"</formula>
    </cfRule>
    <cfRule type="expression" dxfId="102" priority="36">
      <formula>(LEN($F225)&gt;0)</formula>
    </cfRule>
  </conditionalFormatting>
  <conditionalFormatting sqref="W225:W232">
    <cfRule type="cellIs" dxfId="101" priority="27" operator="equal">
      <formula>"OK"</formula>
    </cfRule>
    <cfRule type="cellIs" dxfId="100" priority="28" operator="equal">
      <formula>"NOK"</formula>
    </cfRule>
    <cfRule type="expression" dxfId="99" priority="29">
      <formula>($J225="In Progress")</formula>
    </cfRule>
    <cfRule type="expression" dxfId="98" priority="30">
      <formula>(LEN($J225)&gt;0)</formula>
    </cfRule>
  </conditionalFormatting>
  <conditionalFormatting sqref="M225:M232">
    <cfRule type="expression" dxfId="97" priority="25">
      <formula>($J225="Already Tested")*(LEN($M225)=0)</formula>
    </cfRule>
    <cfRule type="expression" dxfId="96" priority="26">
      <formula>($J225="Already Tested")</formula>
    </cfRule>
  </conditionalFormatting>
  <conditionalFormatting sqref="J173:J213">
    <cfRule type="cellIs" dxfId="95" priority="19" operator="equal">
      <formula>"OK"</formula>
    </cfRule>
    <cfRule type="cellIs" dxfId="94" priority="20" operator="equal">
      <formula>"NOK"</formula>
    </cfRule>
    <cfRule type="cellIs" dxfId="93" priority="21" operator="equal">
      <formula>"Already Tested"</formula>
    </cfRule>
    <cfRule type="cellIs" dxfId="92" priority="22" operator="equal">
      <formula>"Not Tested"</formula>
    </cfRule>
    <cfRule type="cellIs" dxfId="91" priority="23" operator="equal">
      <formula>"In Progress"</formula>
    </cfRule>
    <cfRule type="expression" dxfId="90" priority="24">
      <formula>(LEN($F173)&gt;0)</formula>
    </cfRule>
  </conditionalFormatting>
  <conditionalFormatting sqref="W173:W213">
    <cfRule type="cellIs" dxfId="89" priority="15" operator="equal">
      <formula>"OK"</formula>
    </cfRule>
    <cfRule type="cellIs" dxfId="88" priority="16" operator="equal">
      <formula>"NOK"</formula>
    </cfRule>
    <cfRule type="expression" dxfId="87" priority="17">
      <formula>($J173="In Progress")</formula>
    </cfRule>
    <cfRule type="expression" dxfId="86" priority="18">
      <formula>(LEN($J173)&gt;0)</formula>
    </cfRule>
  </conditionalFormatting>
  <conditionalFormatting sqref="M173:M213">
    <cfRule type="expression" dxfId="85" priority="13">
      <formula>($J173="Already Tested")*(LEN($M173)=0)</formula>
    </cfRule>
    <cfRule type="expression" dxfId="84" priority="14">
      <formula>($J173="Already Tested")</formula>
    </cfRule>
  </conditionalFormatting>
  <conditionalFormatting sqref="J213:J221">
    <cfRule type="cellIs" dxfId="83" priority="7" operator="equal">
      <formula>"OK"</formula>
    </cfRule>
    <cfRule type="cellIs" dxfId="82" priority="8" operator="equal">
      <formula>"NOK"</formula>
    </cfRule>
    <cfRule type="cellIs" dxfId="81" priority="9" operator="equal">
      <formula>"Already Tested"</formula>
    </cfRule>
    <cfRule type="cellIs" dxfId="80" priority="10" operator="equal">
      <formula>"Not Tested"</formula>
    </cfRule>
    <cfRule type="cellIs" dxfId="79" priority="11" operator="equal">
      <formula>"In Progress"</formula>
    </cfRule>
    <cfRule type="expression" dxfId="78" priority="12">
      <formula>(LEN($F213)&gt;0)</formula>
    </cfRule>
  </conditionalFormatting>
  <conditionalFormatting sqref="W213:W221">
    <cfRule type="cellIs" dxfId="77" priority="3" operator="equal">
      <formula>"OK"</formula>
    </cfRule>
    <cfRule type="cellIs" dxfId="76" priority="4" operator="equal">
      <formula>"NOK"</formula>
    </cfRule>
    <cfRule type="expression" dxfId="75" priority="5">
      <formula>($J213="In Progress")</formula>
    </cfRule>
    <cfRule type="expression" dxfId="74" priority="6">
      <formula>(LEN($J213)&gt;0)</formula>
    </cfRule>
  </conditionalFormatting>
  <conditionalFormatting sqref="M213:M221">
    <cfRule type="expression" dxfId="73" priority="1">
      <formula>($J213="Already Tested")*(LEN($M213)=0)</formula>
    </cfRule>
    <cfRule type="expression" dxfId="72" priority="2">
      <formula>($J213="Already Tested")</formula>
    </cfRule>
  </conditionalFormatting>
  <conditionalFormatting sqref="O95:O493">
    <cfRule type="cellIs" dxfId="71" priority="68" operator="equal">
      <formula>"OK"</formula>
    </cfRule>
    <cfRule type="cellIs" dxfId="70" priority="69" operator="equal">
      <formula>"fixed"</formula>
    </cfRule>
    <cfRule type="cellIs" dxfId="69" priority="70" operator="equal">
      <formula>"NOK"</formula>
    </cfRule>
    <cfRule type="expression" dxfId="68" priority="71">
      <formula>(LEN($J95)&gt;0)</formula>
    </cfRule>
  </conditionalFormatting>
  <dataValidations count="10">
    <dataValidation type="list" showInputMessage="1" showErrorMessage="1" sqref="B95:B494">
      <formula1>revisions</formula1>
    </dataValidation>
    <dataValidation type="list" showInputMessage="1" showErrorMessage="1" sqref="C95:C494">
      <formula1>bomversions</formula1>
    </dataValidation>
    <dataValidation type="list" showInputMessage="1" showErrorMessage="1" sqref="D95:D494">
      <formula1>categories</formula1>
    </dataValidation>
    <dataValidation type="list" showInputMessage="1" showErrorMessage="1" sqref="K95:K494">
      <formula1>testers</formula1>
    </dataValidation>
    <dataValidation type="list" showInputMessage="1" showErrorMessage="1" sqref="X95:X494 G86">
      <formula1>reviewers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W95:W494">
      <formula1>"OK,NOK"</formula1>
    </dataValidation>
    <dataValidation type="list" showInputMessage="1" showErrorMessage="1" sqref="E86:E87">
      <formula1>"NO,YES"</formula1>
    </dataValidation>
    <dataValidation type="list" showInputMessage="1" showErrorMessage="1" sqref="E95:E494">
      <formula1>"'++,'+,'o,'-,'--"</formula1>
    </dataValidation>
    <dataValidation type="list" allowBlank="1" showInputMessage="1" showErrorMessage="1" sqref="O95:O494">
      <formula1>"OK,fixed,NOK"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8B29A54-7A1F-49CD-88DD-89F7A6F5A5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C521C686-9AB1-4DAA-8D66-C9AEF54E58D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2BFC2C71-0FB6-4721-934B-8249A0143089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39997558519241921"/>
  </sheetPr>
  <dimension ref="A1:AB494"/>
  <sheetViews>
    <sheetView zoomScale="70" zoomScaleNormal="7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95" sqref="B95"/>
    </sheetView>
  </sheetViews>
  <sheetFormatPr baseColWidth="10" defaultRowHeight="15" x14ac:dyDescent="0.25"/>
  <cols>
    <col min="1" max="1" width="11.42578125" style="1" customWidth="1"/>
    <col min="2" max="2" width="14.28515625" style="1" customWidth="1"/>
    <col min="3" max="3" width="11.42578125" style="1" customWidth="1"/>
    <col min="4" max="4" width="15.7109375" style="1" customWidth="1"/>
    <col min="5" max="5" width="14.28515625" style="1" customWidth="1"/>
    <col min="6" max="8" width="15.7109375" style="1" customWidth="1"/>
    <col min="9" max="9" width="15.85546875" style="1" customWidth="1"/>
    <col min="10" max="10" width="17.140625" style="1" customWidth="1"/>
    <col min="11" max="11" width="11.42578125" style="1"/>
    <col min="12" max="13" width="14.28515625" style="1" customWidth="1"/>
    <col min="14" max="14" width="45.7109375" style="1" customWidth="1"/>
    <col min="15" max="15" width="14.28515625" style="1" customWidth="1"/>
    <col min="16" max="16" width="45.7109375" style="1" customWidth="1"/>
    <col min="17" max="17" width="11.42578125" style="1" customWidth="1"/>
    <col min="18" max="18" width="57.140625" style="1" customWidth="1"/>
    <col min="19" max="19" width="11.42578125" style="1" customWidth="1"/>
    <col min="20" max="20" width="11.42578125" style="1"/>
    <col min="21" max="21" width="22.85546875" style="1" customWidth="1"/>
    <col min="22" max="22" width="11.42578125" style="1"/>
    <col min="23" max="23" width="14.28515625" style="1" customWidth="1"/>
    <col min="24" max="24" width="11.42578125" style="1" customWidth="1"/>
    <col min="25" max="25" width="14.28515625" style="1" customWidth="1"/>
    <col min="26" max="26" width="45.7109375" style="1" customWidth="1"/>
    <col min="27" max="27" width="100" style="1" customWidth="1"/>
    <col min="28" max="16384" width="11.42578125" style="1"/>
  </cols>
  <sheetData>
    <row r="1" spans="1:12" s="17" customFormat="1" ht="12" x14ac:dyDescent="0.2">
      <c r="A1" s="17" t="s">
        <v>10</v>
      </c>
    </row>
    <row r="2" spans="1:12" s="14" customFormat="1" x14ac:dyDescent="0.25">
      <c r="A2" s="14" t="str">
        <f>Overview!B9</f>
        <v>&lt;INSERT PRODUCT NAME HERE&gt;</v>
      </c>
    </row>
    <row r="3" spans="1:12" s="15" customFormat="1" ht="18.75" x14ac:dyDescent="0.3">
      <c r="A3" s="16" t="str">
        <f>Overview!B34</f>
        <v>Misc</v>
      </c>
      <c r="B3" s="16"/>
    </row>
    <row r="5" spans="1:12" x14ac:dyDescent="0.25">
      <c r="A5" s="18" t="s">
        <v>20</v>
      </c>
      <c r="B5" s="18"/>
    </row>
    <row r="6" spans="1:12" x14ac:dyDescent="0.25">
      <c r="A6" s="18"/>
      <c r="B6" s="18"/>
    </row>
    <row r="7" spans="1:12" x14ac:dyDescent="0.25">
      <c r="A7" s="18"/>
      <c r="B7" s="18"/>
      <c r="C7" s="363" t="s">
        <v>23</v>
      </c>
      <c r="D7" s="363"/>
      <c r="E7" s="389"/>
      <c r="F7" s="389"/>
      <c r="G7" s="389"/>
      <c r="H7" s="389"/>
      <c r="I7" s="389"/>
      <c r="J7" s="389"/>
      <c r="K7" s="389"/>
      <c r="L7" s="389"/>
    </row>
    <row r="8" spans="1:12" x14ac:dyDescent="0.25">
      <c r="A8" s="18"/>
      <c r="B8" s="18"/>
      <c r="C8" s="95"/>
      <c r="D8" s="95"/>
      <c r="E8" s="177"/>
      <c r="F8" s="177"/>
      <c r="G8" s="177"/>
      <c r="H8" s="177"/>
      <c r="I8" s="177"/>
      <c r="J8" s="177"/>
      <c r="K8" s="177"/>
      <c r="L8" s="177"/>
    </row>
    <row r="9" spans="1:12" hidden="1" x14ac:dyDescent="0.25">
      <c r="A9" s="18"/>
      <c r="B9" s="18"/>
      <c r="C9" s="95"/>
      <c r="D9" s="95"/>
      <c r="E9" s="177"/>
      <c r="F9" s="177"/>
      <c r="G9" s="177"/>
      <c r="H9" s="177"/>
      <c r="I9" s="177"/>
      <c r="J9" s="177"/>
      <c r="K9" s="177"/>
      <c r="L9" s="177"/>
    </row>
    <row r="10" spans="1:12" hidden="1" x14ac:dyDescent="0.25">
      <c r="A10" s="18"/>
      <c r="B10" s="18"/>
      <c r="C10" s="95"/>
      <c r="D10" s="95"/>
      <c r="E10" s="177"/>
      <c r="F10" s="177"/>
      <c r="G10" s="177"/>
      <c r="H10" s="177"/>
      <c r="I10" s="177"/>
      <c r="J10" s="177"/>
      <c r="K10" s="177"/>
      <c r="L10" s="177"/>
    </row>
    <row r="11" spans="1:12" hidden="1" x14ac:dyDescent="0.25">
      <c r="A11" s="18"/>
      <c r="B11" s="18"/>
      <c r="C11" s="95"/>
      <c r="D11" s="95"/>
      <c r="E11" s="177"/>
      <c r="F11" s="177"/>
      <c r="G11" s="177"/>
      <c r="H11" s="177"/>
      <c r="I11" s="177"/>
      <c r="J11" s="177"/>
      <c r="K11" s="177"/>
      <c r="L11" s="177"/>
    </row>
    <row r="12" spans="1:12" hidden="1" x14ac:dyDescent="0.25">
      <c r="A12" s="18"/>
      <c r="B12" s="18"/>
      <c r="C12" s="95"/>
      <c r="D12" s="95"/>
      <c r="E12" s="177"/>
      <c r="F12" s="177"/>
      <c r="G12" s="177"/>
      <c r="H12" s="177"/>
      <c r="I12" s="177"/>
      <c r="J12" s="177"/>
      <c r="K12" s="177"/>
      <c r="L12" s="177"/>
    </row>
    <row r="13" spans="1:12" hidden="1" x14ac:dyDescent="0.25">
      <c r="A13" s="18"/>
      <c r="B13" s="18"/>
      <c r="C13" s="95"/>
      <c r="D13" s="95"/>
      <c r="E13" s="177"/>
      <c r="F13" s="177"/>
      <c r="G13" s="177"/>
      <c r="H13" s="177"/>
      <c r="I13" s="177"/>
      <c r="J13" s="177"/>
      <c r="K13" s="177"/>
      <c r="L13" s="177"/>
    </row>
    <row r="14" spans="1:12" hidden="1" x14ac:dyDescent="0.25">
      <c r="A14" s="18"/>
      <c r="B14" s="18"/>
      <c r="C14" s="95"/>
      <c r="D14" s="95"/>
      <c r="E14" s="177"/>
      <c r="F14" s="177"/>
      <c r="G14" s="177"/>
      <c r="H14" s="177"/>
      <c r="I14" s="177"/>
      <c r="J14" s="177"/>
      <c r="K14" s="177"/>
      <c r="L14" s="177"/>
    </row>
    <row r="15" spans="1:12" hidden="1" x14ac:dyDescent="0.25">
      <c r="A15" s="18"/>
      <c r="B15" s="18"/>
      <c r="C15" s="95"/>
      <c r="D15" s="95"/>
      <c r="E15" s="177"/>
      <c r="F15" s="177"/>
      <c r="G15" s="177"/>
      <c r="H15" s="177"/>
      <c r="I15" s="177"/>
      <c r="J15" s="177"/>
      <c r="K15" s="177"/>
      <c r="L15" s="177"/>
    </row>
    <row r="16" spans="1:12" hidden="1" x14ac:dyDescent="0.25">
      <c r="A16" s="18"/>
      <c r="B16" s="18"/>
      <c r="C16" s="95"/>
      <c r="D16" s="95"/>
      <c r="E16" s="177"/>
      <c r="F16" s="177"/>
      <c r="G16" s="177"/>
      <c r="H16" s="177"/>
      <c r="I16" s="177"/>
      <c r="J16" s="177"/>
      <c r="K16" s="177"/>
      <c r="L16" s="177"/>
    </row>
    <row r="17" spans="1:13" hidden="1" x14ac:dyDescent="0.25">
      <c r="A17" s="18"/>
      <c r="B17" s="18"/>
      <c r="C17" s="95"/>
      <c r="D17" s="95"/>
      <c r="E17" s="177"/>
      <c r="F17" s="177"/>
      <c r="G17" s="177"/>
      <c r="H17" s="177"/>
      <c r="I17" s="177"/>
      <c r="J17" s="177"/>
      <c r="K17" s="177"/>
      <c r="L17" s="177"/>
    </row>
    <row r="18" spans="1:13" hidden="1" x14ac:dyDescent="0.25">
      <c r="A18" s="18"/>
      <c r="B18" s="18"/>
      <c r="C18" s="95"/>
      <c r="D18" s="95"/>
      <c r="E18" s="177"/>
      <c r="F18" s="177"/>
      <c r="G18" s="177"/>
      <c r="H18" s="177"/>
      <c r="I18" s="177"/>
      <c r="J18" s="177"/>
      <c r="K18" s="177"/>
      <c r="L18" s="177"/>
    </row>
    <row r="19" spans="1:13" hidden="1" x14ac:dyDescent="0.25">
      <c r="A19" s="18"/>
      <c r="B19" s="18"/>
      <c r="C19" s="95"/>
      <c r="D19" s="95"/>
      <c r="E19" s="177"/>
      <c r="F19" s="177"/>
      <c r="G19" s="177"/>
      <c r="H19" s="177"/>
      <c r="I19" s="177"/>
      <c r="J19" s="177"/>
      <c r="K19" s="177"/>
      <c r="L19" s="177"/>
    </row>
    <row r="20" spans="1:13" hidden="1" x14ac:dyDescent="0.25">
      <c r="A20" s="18"/>
      <c r="B20" s="18"/>
      <c r="C20" s="95"/>
      <c r="D20" s="95"/>
      <c r="E20" s="177"/>
      <c r="F20" s="177"/>
      <c r="G20" s="177"/>
      <c r="H20" s="177"/>
      <c r="I20" s="177"/>
      <c r="J20" s="177"/>
      <c r="K20" s="177"/>
      <c r="L20" s="177"/>
    </row>
    <row r="21" spans="1:13" hidden="1" x14ac:dyDescent="0.25">
      <c r="A21" s="18"/>
      <c r="B21" s="18"/>
      <c r="C21" s="95"/>
      <c r="D21" s="95"/>
      <c r="E21" s="177"/>
      <c r="F21" s="177"/>
      <c r="G21" s="177"/>
      <c r="H21" s="177"/>
      <c r="I21" s="177"/>
      <c r="J21" s="177"/>
      <c r="K21" s="177"/>
      <c r="L21" s="177"/>
    </row>
    <row r="22" spans="1:13" hidden="1" x14ac:dyDescent="0.25">
      <c r="A22" s="18"/>
      <c r="B22" s="18"/>
      <c r="C22" s="95"/>
      <c r="D22" s="95"/>
      <c r="E22" s="177"/>
      <c r="F22" s="177"/>
      <c r="G22" s="177"/>
      <c r="H22" s="177"/>
      <c r="I22" s="177"/>
      <c r="J22" s="177"/>
      <c r="K22" s="177"/>
      <c r="L22" s="177"/>
    </row>
    <row r="23" spans="1:13" hidden="1" x14ac:dyDescent="0.25">
      <c r="A23" s="18"/>
      <c r="B23" s="18"/>
      <c r="C23" s="95"/>
      <c r="D23" s="95"/>
      <c r="E23" s="177"/>
      <c r="F23" s="177"/>
      <c r="G23" s="177"/>
      <c r="H23" s="177"/>
      <c r="I23" s="177"/>
      <c r="J23" s="177"/>
      <c r="K23" s="177"/>
      <c r="L23" s="177"/>
    </row>
    <row r="24" spans="1:13" x14ac:dyDescent="0.25">
      <c r="A24" s="18"/>
      <c r="B24" s="18"/>
    </row>
    <row r="25" spans="1:13" ht="15.75" thickBot="1" x14ac:dyDescent="0.3">
      <c r="A25" s="18"/>
      <c r="B25" s="18"/>
      <c r="C25" s="363" t="s">
        <v>86</v>
      </c>
      <c r="D25" s="363"/>
      <c r="E25" s="364"/>
      <c r="F25" s="365"/>
      <c r="G25" s="365"/>
      <c r="H25" s="365"/>
      <c r="I25" s="365"/>
      <c r="J25" s="365"/>
      <c r="K25" s="365"/>
      <c r="L25" s="365"/>
      <c r="M25" s="75" t="s">
        <v>61</v>
      </c>
    </row>
    <row r="26" spans="1:13" x14ac:dyDescent="0.25">
      <c r="A26" s="18"/>
      <c r="B26" s="18"/>
      <c r="C26" s="95"/>
      <c r="D26" s="95"/>
      <c r="E26" s="142" t="s">
        <v>87</v>
      </c>
      <c r="F26" s="418"/>
      <c r="G26" s="419"/>
      <c r="H26" s="162" t="s">
        <v>48</v>
      </c>
      <c r="I26" s="416"/>
      <c r="J26" s="416"/>
      <c r="K26" s="416"/>
      <c r="L26" s="417"/>
      <c r="M26" s="97"/>
    </row>
    <row r="27" spans="1:13" x14ac:dyDescent="0.25">
      <c r="A27" s="18"/>
      <c r="B27" s="18"/>
      <c r="C27" s="95"/>
      <c r="D27" s="95"/>
      <c r="E27" s="96"/>
      <c r="F27" s="96"/>
      <c r="G27" s="96"/>
      <c r="H27" s="96"/>
      <c r="I27" s="96"/>
      <c r="J27" s="96"/>
      <c r="K27" s="96"/>
      <c r="L27" s="96"/>
      <c r="M27" s="97"/>
    </row>
    <row r="28" spans="1:13" ht="15.75" thickBot="1" x14ac:dyDescent="0.3">
      <c r="A28" s="18"/>
      <c r="B28" s="18"/>
      <c r="C28" s="363" t="s">
        <v>88</v>
      </c>
      <c r="D28" s="363"/>
      <c r="E28" s="364"/>
      <c r="F28" s="365"/>
      <c r="G28" s="365"/>
      <c r="H28" s="365"/>
      <c r="I28" s="365"/>
      <c r="J28" s="365"/>
      <c r="K28" s="365"/>
      <c r="L28" s="365"/>
      <c r="M28" s="75" t="s">
        <v>61</v>
      </c>
    </row>
    <row r="29" spans="1:13" x14ac:dyDescent="0.25">
      <c r="A29" s="18"/>
      <c r="B29" s="18"/>
      <c r="C29" s="95"/>
      <c r="D29" s="95"/>
      <c r="E29" s="142" t="s">
        <v>87</v>
      </c>
      <c r="F29" s="406"/>
      <c r="G29" s="372"/>
      <c r="H29" s="162" t="s">
        <v>48</v>
      </c>
      <c r="I29" s="372"/>
      <c r="J29" s="372"/>
      <c r="K29" s="372"/>
      <c r="L29" s="366"/>
      <c r="M29" s="97"/>
    </row>
    <row r="30" spans="1:13" x14ac:dyDescent="0.25">
      <c r="A30" s="18"/>
      <c r="B30" s="18"/>
      <c r="C30" s="95"/>
      <c r="D30" s="95"/>
      <c r="E30" s="96"/>
      <c r="F30" s="96"/>
      <c r="G30" s="96"/>
      <c r="H30" s="96"/>
      <c r="I30" s="96"/>
      <c r="J30" s="96"/>
      <c r="K30" s="96"/>
      <c r="L30" s="96"/>
      <c r="M30" s="97"/>
    </row>
    <row r="31" spans="1:13" ht="15.75" thickBot="1" x14ac:dyDescent="0.3">
      <c r="A31" s="18"/>
      <c r="B31" s="18"/>
      <c r="C31" s="363" t="s">
        <v>89</v>
      </c>
      <c r="D31" s="363"/>
      <c r="E31" s="364"/>
      <c r="F31" s="365"/>
      <c r="G31" s="365"/>
      <c r="H31" s="365"/>
      <c r="I31" s="365"/>
      <c r="J31" s="365"/>
      <c r="K31" s="365"/>
      <c r="L31" s="365"/>
      <c r="M31" s="75" t="s">
        <v>61</v>
      </c>
    </row>
    <row r="32" spans="1:13" x14ac:dyDescent="0.25">
      <c r="A32" s="18"/>
      <c r="B32" s="18"/>
      <c r="C32" s="95"/>
      <c r="D32" s="95"/>
      <c r="E32" s="142" t="s">
        <v>87</v>
      </c>
      <c r="F32" s="406"/>
      <c r="G32" s="372"/>
      <c r="H32" s="162" t="s">
        <v>48</v>
      </c>
      <c r="I32" s="372"/>
      <c r="J32" s="372"/>
      <c r="K32" s="372"/>
      <c r="L32" s="366"/>
      <c r="M32" s="97"/>
    </row>
    <row r="33" spans="1:16" hidden="1" x14ac:dyDescent="0.25">
      <c r="A33" s="18"/>
      <c r="B33" s="18"/>
      <c r="C33" s="95"/>
      <c r="D33" s="95"/>
      <c r="E33" s="96"/>
      <c r="F33" s="96"/>
      <c r="G33" s="96"/>
      <c r="H33" s="96"/>
      <c r="I33" s="96"/>
      <c r="J33" s="96"/>
      <c r="K33" s="96"/>
      <c r="L33" s="96"/>
      <c r="M33" s="97"/>
    </row>
    <row r="34" spans="1:16" ht="15.75" hidden="1" thickBot="1" x14ac:dyDescent="0.3">
      <c r="A34" s="18"/>
      <c r="B34" s="18"/>
      <c r="C34" s="363" t="s">
        <v>90</v>
      </c>
      <c r="D34" s="363"/>
      <c r="E34" s="366"/>
      <c r="F34" s="367"/>
      <c r="G34" s="367"/>
      <c r="H34" s="367"/>
      <c r="I34" s="367"/>
      <c r="J34" s="367"/>
      <c r="K34" s="367"/>
      <c r="L34" s="367"/>
      <c r="M34" s="75" t="s">
        <v>61</v>
      </c>
    </row>
    <row r="35" spans="1:16" hidden="1" x14ac:dyDescent="0.25">
      <c r="A35" s="18"/>
      <c r="B35" s="18"/>
      <c r="C35" s="95"/>
      <c r="D35" s="95"/>
      <c r="E35" s="142" t="s">
        <v>87</v>
      </c>
      <c r="F35" s="406"/>
      <c r="G35" s="372"/>
      <c r="H35" s="162" t="s">
        <v>48</v>
      </c>
      <c r="I35" s="372"/>
      <c r="J35" s="372"/>
      <c r="K35" s="372"/>
      <c r="L35" s="366"/>
      <c r="M35" s="97"/>
    </row>
    <row r="36" spans="1:16" hidden="1" x14ac:dyDescent="0.25">
      <c r="A36" s="18"/>
      <c r="B36" s="18"/>
      <c r="C36" s="95"/>
      <c r="D36" s="95"/>
      <c r="E36" s="96"/>
      <c r="F36" s="96"/>
      <c r="G36" s="96"/>
      <c r="H36" s="96"/>
      <c r="I36" s="96"/>
      <c r="J36" s="96"/>
      <c r="K36" s="96"/>
      <c r="L36" s="96"/>
      <c r="M36" s="97"/>
    </row>
    <row r="37" spans="1:16" ht="15.75" hidden="1" thickBot="1" x14ac:dyDescent="0.3">
      <c r="A37" s="18"/>
      <c r="B37" s="18"/>
      <c r="C37" s="363" t="s">
        <v>91</v>
      </c>
      <c r="D37" s="363"/>
      <c r="E37" s="366"/>
      <c r="F37" s="367"/>
      <c r="G37" s="367"/>
      <c r="H37" s="367"/>
      <c r="I37" s="367"/>
      <c r="J37" s="367"/>
      <c r="K37" s="367"/>
      <c r="L37" s="367"/>
      <c r="M37" s="75" t="s">
        <v>61</v>
      </c>
    </row>
    <row r="38" spans="1:16" hidden="1" x14ac:dyDescent="0.25">
      <c r="A38" s="18"/>
      <c r="B38" s="18"/>
      <c r="C38" s="95"/>
      <c r="D38" s="95"/>
      <c r="E38" s="142" t="s">
        <v>87</v>
      </c>
      <c r="F38" s="406"/>
      <c r="G38" s="372"/>
      <c r="H38" s="162" t="s">
        <v>48</v>
      </c>
      <c r="I38" s="372"/>
      <c r="J38" s="372"/>
      <c r="K38" s="372"/>
      <c r="L38" s="366"/>
      <c r="M38" s="97"/>
    </row>
    <row r="39" spans="1:16" hidden="1" x14ac:dyDescent="0.25">
      <c r="A39" s="18"/>
      <c r="B39" s="18"/>
      <c r="C39" s="95"/>
      <c r="D39" s="95"/>
      <c r="E39" s="96"/>
      <c r="F39" s="96"/>
      <c r="G39" s="96"/>
      <c r="H39" s="96"/>
      <c r="I39" s="96"/>
      <c r="J39" s="96"/>
      <c r="K39" s="96"/>
      <c r="L39" s="96"/>
      <c r="M39" s="97"/>
    </row>
    <row r="40" spans="1:16" ht="15.75" hidden="1" thickBot="1" x14ac:dyDescent="0.3">
      <c r="A40" s="18"/>
      <c r="B40" s="18"/>
      <c r="C40" s="363" t="s">
        <v>92</v>
      </c>
      <c r="D40" s="363"/>
      <c r="E40" s="366"/>
      <c r="F40" s="367"/>
      <c r="G40" s="367"/>
      <c r="H40" s="367"/>
      <c r="I40" s="367"/>
      <c r="J40" s="367"/>
      <c r="K40" s="367"/>
      <c r="L40" s="367"/>
      <c r="M40" s="75" t="s">
        <v>61</v>
      </c>
    </row>
    <row r="41" spans="1:16" hidden="1" x14ac:dyDescent="0.25">
      <c r="A41" s="18"/>
      <c r="B41" s="18"/>
      <c r="C41" s="95"/>
      <c r="D41" s="95"/>
      <c r="E41" s="142" t="s">
        <v>87</v>
      </c>
      <c r="F41" s="406"/>
      <c r="G41" s="372"/>
      <c r="H41" s="162" t="s">
        <v>48</v>
      </c>
      <c r="I41" s="372"/>
      <c r="J41" s="372"/>
      <c r="K41" s="372"/>
      <c r="L41" s="366"/>
      <c r="M41" s="97"/>
    </row>
    <row r="42" spans="1:16" hidden="1" x14ac:dyDescent="0.25">
      <c r="A42" s="18"/>
      <c r="B42" s="18"/>
      <c r="C42" s="95"/>
      <c r="D42" s="95"/>
      <c r="E42" s="96"/>
      <c r="F42" s="96"/>
      <c r="G42" s="96"/>
      <c r="H42" s="96"/>
      <c r="I42" s="96"/>
      <c r="J42" s="96"/>
      <c r="K42" s="96"/>
      <c r="L42" s="96"/>
      <c r="M42" s="97"/>
    </row>
    <row r="43" spans="1:16" ht="15.75" hidden="1" thickBot="1" x14ac:dyDescent="0.3">
      <c r="A43" s="18"/>
      <c r="B43" s="18"/>
      <c r="C43" s="363" t="s">
        <v>93</v>
      </c>
      <c r="D43" s="363"/>
      <c r="E43" s="366"/>
      <c r="F43" s="367"/>
      <c r="G43" s="367"/>
      <c r="H43" s="367"/>
      <c r="I43" s="367"/>
      <c r="J43" s="367"/>
      <c r="K43" s="367"/>
      <c r="L43" s="367"/>
      <c r="M43" s="75" t="s">
        <v>61</v>
      </c>
    </row>
    <row r="44" spans="1:16" hidden="1" x14ac:dyDescent="0.25">
      <c r="A44" s="18"/>
      <c r="B44" s="18"/>
      <c r="C44" s="95"/>
      <c r="D44" s="95"/>
      <c r="E44" s="142" t="s">
        <v>87</v>
      </c>
      <c r="F44" s="406"/>
      <c r="G44" s="372"/>
      <c r="H44" s="162" t="s">
        <v>48</v>
      </c>
      <c r="I44" s="372"/>
      <c r="J44" s="372"/>
      <c r="K44" s="372"/>
      <c r="L44" s="366"/>
      <c r="M44" s="97"/>
    </row>
    <row r="45" spans="1:16" x14ac:dyDescent="0.25">
      <c r="A45" s="18"/>
      <c r="B45" s="18"/>
    </row>
    <row r="46" spans="1:16" ht="15.75" thickBot="1" x14ac:dyDescent="0.3"/>
    <row r="47" spans="1:16" ht="15.75" thickBot="1" x14ac:dyDescent="0.3">
      <c r="C47" s="412" t="s">
        <v>42</v>
      </c>
      <c r="D47" s="413"/>
      <c r="E47" s="84" t="s">
        <v>28</v>
      </c>
      <c r="F47" s="42" t="s">
        <v>64</v>
      </c>
      <c r="G47" s="43" t="s">
        <v>65</v>
      </c>
      <c r="H47" s="44" t="s">
        <v>63</v>
      </c>
      <c r="I47" s="45" t="s">
        <v>60</v>
      </c>
      <c r="J47" s="76" t="s">
        <v>62</v>
      </c>
      <c r="K47" s="319" t="s">
        <v>6</v>
      </c>
      <c r="L47" s="320"/>
      <c r="M47" s="370" t="s">
        <v>68</v>
      </c>
      <c r="N47" s="371"/>
      <c r="O47" s="370" t="s">
        <v>69</v>
      </c>
      <c r="P47" s="371"/>
    </row>
    <row r="48" spans="1:16" x14ac:dyDescent="0.25">
      <c r="C48" s="414" t="s">
        <v>176</v>
      </c>
      <c r="D48" s="415"/>
      <c r="E48" s="85">
        <f>COUNTIFS($D$95:$D$494,$C48,$F$95:$F$494,"=*")</f>
        <v>0</v>
      </c>
      <c r="F48" s="53">
        <f>COUNTIFS($D$95:$D$494, $C48, $W$95:$W$494,"OK")</f>
        <v>0</v>
      </c>
      <c r="G48" s="54">
        <f>COUNTIFS($D$95:$D$494,$C48,$W$95:$W$494,"NOK")</f>
        <v>0</v>
      </c>
      <c r="H48" s="212">
        <f>COUNTIFS($D$95:$D$494,$C48,$F$95:$F$494,"=*")-(COUNTIFS($D$95:$D$494,$C48,$O$95:$O$494, "OK")+COUNTIFS($D$95:$D$494,$C48,$O$95:$O$494,"NOK")+COUNTIFS($D$95:$D$494,$C48,$O$95:$O$494,"Fixed"))</f>
        <v>0</v>
      </c>
      <c r="I48" s="213">
        <f>COUNTIFS($D$95:$D$494,$C48,$J$95:$J$494, "OK")+COUNTIFS($D$95:$D$494,$C48,$J$95:$J$494, "NOK")+COUNTIFS($D$95:$D$494,$C48,$J$95:$J$494, "Not Tested")+COUNTIFS($D$95:$D$494,$C48,$J$95:$J$494, "Already Tested")-(COUNTIFS($D$95:$D$494,$C48,$W$95:$W$494, "OK")+COUNTIFS($D$95:$D$494,$C48,$W$95:$W$494, "NOK"))</f>
        <v>0</v>
      </c>
      <c r="J48" s="78">
        <f>COUNTIFS($D$95:$D$494,$C48,$O$95:$O$494, "NOK")</f>
        <v>0</v>
      </c>
      <c r="K48" s="368" t="str">
        <f>IF(E48&gt;0, (F48+(E48-(H48+J48)))/(2*E48), "")</f>
        <v/>
      </c>
      <c r="L48" s="369"/>
      <c r="M48" s="88">
        <f>IF(E48=0,4,IF(H48&gt;0,IF(J48&gt;0,2,1),IF(J48&gt;0,3,0)))</f>
        <v>4</v>
      </c>
      <c r="N48" s="77" t="str">
        <f>IF(E48=0,"List empty",IF(H48&gt;0,IF(J48&gt;0,"Errors found, Tests open","Tests open"),IF(J48&gt;0,"Tests completed, Errors found","Tests completed")))</f>
        <v>List empty</v>
      </c>
      <c r="O48" s="88">
        <f>IF((E48-H48)=0,4,IF(I48&gt;0,IF(G48&gt;0,2,1),IF(G48&gt;0,3,0)))</f>
        <v>4</v>
      </c>
      <c r="P48" s="77" t="str">
        <f>IF((E48-H48)=0,"List empty",IF(I48&gt;0,IF(G48&gt;0,"Errors found, Reviews open","Reviews open"),IF(G48&gt;0,"Reviews completed, Errors found","Reviews completed")))</f>
        <v>List empty</v>
      </c>
    </row>
    <row r="49" spans="3:16" hidden="1" x14ac:dyDescent="0.25">
      <c r="C49" s="390"/>
      <c r="D49" s="391"/>
      <c r="E49" s="85">
        <f t="shared" ref="E49:E67" si="0">COUNTIFS($D$95:$D$494,$C49,$F$95:$F$494,"=*")</f>
        <v>0</v>
      </c>
      <c r="F49" s="53">
        <f t="shared" ref="F49:F67" si="1">COUNTIFS($D$95:$D$494, $C49, $W$95:$W$494,"OK")</f>
        <v>0</v>
      </c>
      <c r="G49" s="54">
        <f t="shared" ref="G49:G67" si="2">COUNTIFS($D$95:$D$494,$C49,$W$95:$W$494,"NOK")</f>
        <v>0</v>
      </c>
      <c r="H49" s="212">
        <f t="shared" ref="H49:H67" si="3">COUNTIFS($D$95:$D$494,$C49,$F$95:$F$494,"=*")-(COUNTIFS($D$95:$D$494,$C49,$O$95:$O$494, "OK")+COUNTIFS($D$95:$D$494,$C49,$O$95:$O$494,"NOK")+COUNTIFS($D$95:$D$494,$C49,$O$95:$O$494,"Fixed"))</f>
        <v>0</v>
      </c>
      <c r="I49" s="213">
        <f t="shared" ref="I49:I67" si="4">COUNTIFS($D$95:$D$494,$C49,$J$95:$J$494, "OK")+COUNTIFS($D$95:$D$494,$C49,$J$95:$J$494, "NOK")+COUNTIFS($D$95:$D$494,$C49,$J$95:$J$494, "Not Tested")+COUNTIFS($D$95:$D$494,$C49,$J$95:$J$494, "Already Tested")-(COUNTIFS($D$95:$D$494,$C49,$W$95:$W$494, "OK")+COUNTIFS($D$95:$D$494,$C49,$W$95:$W$494, "NOK"))</f>
        <v>0</v>
      </c>
      <c r="J49" s="78">
        <f t="shared" ref="J49:J67" si="5">COUNTIFS($D$95:$D$494,$C49,$O$95:$O$494, "NOK")</f>
        <v>0</v>
      </c>
      <c r="K49" s="368" t="str">
        <f t="shared" ref="K49:K68" si="6">IF(E49&gt;0, (F49+(E49-(H49+J49)))/(2*E49), "")</f>
        <v/>
      </c>
      <c r="L49" s="369"/>
      <c r="M49" s="181">
        <f t="shared" ref="M49:M68" si="7">IF(E49=0,4,IF(H49&gt;0,IF(J49&gt;0,2,1),IF(J49&gt;0,3,0)))</f>
        <v>4</v>
      </c>
      <c r="N49" s="182" t="str">
        <f t="shared" ref="N49:N68" si="8">IF(E49=0,"List empty",IF(H49&gt;0,IF(J49&gt;0,"Errors found, Tests open","Tests open"),IF(J49&gt;0,"Tests completed, Errors found","Tests completed")))</f>
        <v>List empty</v>
      </c>
      <c r="O49" s="181">
        <f t="shared" ref="O49:O67" si="9">IF((E49-H49)=0,4,IF(I49&gt;0,IF(G49&gt;0,2,1),IF(G49&gt;0,3,0)))</f>
        <v>4</v>
      </c>
      <c r="P49" s="182" t="str">
        <f t="shared" ref="P49:P67" si="10">IF((E49-H49)=0,"List empty",IF(I49&gt;0,IF(G49&gt;0,"Errors found, Reviews open","Reviews open"),IF(G49&gt;0,"Reviews completed, Errors found","Reviews completed")))</f>
        <v>List empty</v>
      </c>
    </row>
    <row r="50" spans="3:16" hidden="1" x14ac:dyDescent="0.25">
      <c r="C50" s="390"/>
      <c r="D50" s="391"/>
      <c r="E50" s="85">
        <f t="shared" si="0"/>
        <v>0</v>
      </c>
      <c r="F50" s="53">
        <f t="shared" si="1"/>
        <v>0</v>
      </c>
      <c r="G50" s="54">
        <f t="shared" si="2"/>
        <v>0</v>
      </c>
      <c r="H50" s="212">
        <f t="shared" si="3"/>
        <v>0</v>
      </c>
      <c r="I50" s="213">
        <f t="shared" si="4"/>
        <v>0</v>
      </c>
      <c r="J50" s="78">
        <f t="shared" si="5"/>
        <v>0</v>
      </c>
      <c r="K50" s="368" t="str">
        <f t="shared" si="6"/>
        <v/>
      </c>
      <c r="L50" s="369"/>
      <c r="M50" s="181">
        <f t="shared" si="7"/>
        <v>4</v>
      </c>
      <c r="N50" s="182" t="str">
        <f t="shared" si="8"/>
        <v>List empty</v>
      </c>
      <c r="O50" s="181">
        <f t="shared" si="9"/>
        <v>4</v>
      </c>
      <c r="P50" s="182" t="str">
        <f t="shared" si="10"/>
        <v>List empty</v>
      </c>
    </row>
    <row r="51" spans="3:16" hidden="1" x14ac:dyDescent="0.25">
      <c r="C51" s="390"/>
      <c r="D51" s="391"/>
      <c r="E51" s="85">
        <f t="shared" si="0"/>
        <v>0</v>
      </c>
      <c r="F51" s="53">
        <f t="shared" si="1"/>
        <v>0</v>
      </c>
      <c r="G51" s="54">
        <f t="shared" si="2"/>
        <v>0</v>
      </c>
      <c r="H51" s="212">
        <f t="shared" si="3"/>
        <v>0</v>
      </c>
      <c r="I51" s="213">
        <f t="shared" si="4"/>
        <v>0</v>
      </c>
      <c r="J51" s="78">
        <f t="shared" si="5"/>
        <v>0</v>
      </c>
      <c r="K51" s="368" t="str">
        <f t="shared" si="6"/>
        <v/>
      </c>
      <c r="L51" s="369"/>
      <c r="M51" s="181">
        <f t="shared" si="7"/>
        <v>4</v>
      </c>
      <c r="N51" s="182" t="str">
        <f t="shared" si="8"/>
        <v>List empty</v>
      </c>
      <c r="O51" s="181">
        <f t="shared" si="9"/>
        <v>4</v>
      </c>
      <c r="P51" s="182" t="str">
        <f t="shared" si="10"/>
        <v>List empty</v>
      </c>
    </row>
    <row r="52" spans="3:16" hidden="1" x14ac:dyDescent="0.25">
      <c r="C52" s="390"/>
      <c r="D52" s="391"/>
      <c r="E52" s="85">
        <f t="shared" si="0"/>
        <v>0</v>
      </c>
      <c r="F52" s="53">
        <f t="shared" si="1"/>
        <v>0</v>
      </c>
      <c r="G52" s="54">
        <f t="shared" si="2"/>
        <v>0</v>
      </c>
      <c r="H52" s="212">
        <f t="shared" si="3"/>
        <v>0</v>
      </c>
      <c r="I52" s="213">
        <f t="shared" si="4"/>
        <v>0</v>
      </c>
      <c r="J52" s="78">
        <f t="shared" si="5"/>
        <v>0</v>
      </c>
      <c r="K52" s="368" t="str">
        <f t="shared" si="6"/>
        <v/>
      </c>
      <c r="L52" s="369"/>
      <c r="M52" s="181">
        <f t="shared" si="7"/>
        <v>4</v>
      </c>
      <c r="N52" s="182" t="str">
        <f t="shared" si="8"/>
        <v>List empty</v>
      </c>
      <c r="O52" s="181">
        <f t="shared" si="9"/>
        <v>4</v>
      </c>
      <c r="P52" s="182" t="str">
        <f t="shared" si="10"/>
        <v>List empty</v>
      </c>
    </row>
    <row r="53" spans="3:16" hidden="1" x14ac:dyDescent="0.25">
      <c r="C53" s="390"/>
      <c r="D53" s="391"/>
      <c r="E53" s="85">
        <f t="shared" si="0"/>
        <v>0</v>
      </c>
      <c r="F53" s="53">
        <f t="shared" si="1"/>
        <v>0</v>
      </c>
      <c r="G53" s="54">
        <f t="shared" si="2"/>
        <v>0</v>
      </c>
      <c r="H53" s="212">
        <f t="shared" si="3"/>
        <v>0</v>
      </c>
      <c r="I53" s="213">
        <f t="shared" si="4"/>
        <v>0</v>
      </c>
      <c r="J53" s="78">
        <f t="shared" si="5"/>
        <v>0</v>
      </c>
      <c r="K53" s="368" t="str">
        <f t="shared" si="6"/>
        <v/>
      </c>
      <c r="L53" s="369"/>
      <c r="M53" s="181">
        <f t="shared" si="7"/>
        <v>4</v>
      </c>
      <c r="N53" s="182" t="str">
        <f t="shared" si="8"/>
        <v>List empty</v>
      </c>
      <c r="O53" s="181">
        <f t="shared" si="9"/>
        <v>4</v>
      </c>
      <c r="P53" s="182" t="str">
        <f t="shared" si="10"/>
        <v>List empty</v>
      </c>
    </row>
    <row r="54" spans="3:16" hidden="1" x14ac:dyDescent="0.25">
      <c r="C54" s="390"/>
      <c r="D54" s="391"/>
      <c r="E54" s="85">
        <f t="shared" si="0"/>
        <v>0</v>
      </c>
      <c r="F54" s="53">
        <f t="shared" si="1"/>
        <v>0</v>
      </c>
      <c r="G54" s="54">
        <f t="shared" si="2"/>
        <v>0</v>
      </c>
      <c r="H54" s="212">
        <f t="shared" si="3"/>
        <v>0</v>
      </c>
      <c r="I54" s="213">
        <f t="shared" si="4"/>
        <v>0</v>
      </c>
      <c r="J54" s="78">
        <f t="shared" si="5"/>
        <v>0</v>
      </c>
      <c r="K54" s="368" t="str">
        <f t="shared" si="6"/>
        <v/>
      </c>
      <c r="L54" s="369"/>
      <c r="M54" s="181">
        <f t="shared" si="7"/>
        <v>4</v>
      </c>
      <c r="N54" s="182" t="str">
        <f t="shared" si="8"/>
        <v>List empty</v>
      </c>
      <c r="O54" s="181">
        <f t="shared" si="9"/>
        <v>4</v>
      </c>
      <c r="P54" s="182" t="str">
        <f t="shared" si="10"/>
        <v>List empty</v>
      </c>
    </row>
    <row r="55" spans="3:16" hidden="1" x14ac:dyDescent="0.25">
      <c r="C55" s="390"/>
      <c r="D55" s="391"/>
      <c r="E55" s="85">
        <f t="shared" si="0"/>
        <v>0</v>
      </c>
      <c r="F55" s="53">
        <f t="shared" si="1"/>
        <v>0</v>
      </c>
      <c r="G55" s="54">
        <f t="shared" si="2"/>
        <v>0</v>
      </c>
      <c r="H55" s="212">
        <f t="shared" si="3"/>
        <v>0</v>
      </c>
      <c r="I55" s="213">
        <f t="shared" si="4"/>
        <v>0</v>
      </c>
      <c r="J55" s="78">
        <f t="shared" si="5"/>
        <v>0</v>
      </c>
      <c r="K55" s="368" t="str">
        <f t="shared" si="6"/>
        <v/>
      </c>
      <c r="L55" s="369"/>
      <c r="M55" s="181">
        <f t="shared" si="7"/>
        <v>4</v>
      </c>
      <c r="N55" s="182" t="str">
        <f t="shared" si="8"/>
        <v>List empty</v>
      </c>
      <c r="O55" s="181">
        <f t="shared" si="9"/>
        <v>4</v>
      </c>
      <c r="P55" s="182" t="str">
        <f t="shared" si="10"/>
        <v>List empty</v>
      </c>
    </row>
    <row r="56" spans="3:16" hidden="1" x14ac:dyDescent="0.25">
      <c r="C56" s="390"/>
      <c r="D56" s="391"/>
      <c r="E56" s="85">
        <f t="shared" si="0"/>
        <v>0</v>
      </c>
      <c r="F56" s="53">
        <f t="shared" si="1"/>
        <v>0</v>
      </c>
      <c r="G56" s="54">
        <f t="shared" si="2"/>
        <v>0</v>
      </c>
      <c r="H56" s="212">
        <f t="shared" si="3"/>
        <v>0</v>
      </c>
      <c r="I56" s="213">
        <f t="shared" si="4"/>
        <v>0</v>
      </c>
      <c r="J56" s="78">
        <f t="shared" si="5"/>
        <v>0</v>
      </c>
      <c r="K56" s="368" t="str">
        <f t="shared" si="6"/>
        <v/>
      </c>
      <c r="L56" s="369"/>
      <c r="M56" s="181">
        <f t="shared" si="7"/>
        <v>4</v>
      </c>
      <c r="N56" s="182" t="str">
        <f t="shared" si="8"/>
        <v>List empty</v>
      </c>
      <c r="O56" s="181">
        <f t="shared" si="9"/>
        <v>4</v>
      </c>
      <c r="P56" s="182" t="str">
        <f t="shared" si="10"/>
        <v>List empty</v>
      </c>
    </row>
    <row r="57" spans="3:16" hidden="1" x14ac:dyDescent="0.25">
      <c r="C57" s="390"/>
      <c r="D57" s="391"/>
      <c r="E57" s="85">
        <f t="shared" si="0"/>
        <v>0</v>
      </c>
      <c r="F57" s="53">
        <f t="shared" si="1"/>
        <v>0</v>
      </c>
      <c r="G57" s="54">
        <f t="shared" si="2"/>
        <v>0</v>
      </c>
      <c r="H57" s="212">
        <f t="shared" si="3"/>
        <v>0</v>
      </c>
      <c r="I57" s="213">
        <f t="shared" si="4"/>
        <v>0</v>
      </c>
      <c r="J57" s="78">
        <f t="shared" si="5"/>
        <v>0</v>
      </c>
      <c r="K57" s="368" t="str">
        <f t="shared" si="6"/>
        <v/>
      </c>
      <c r="L57" s="369"/>
      <c r="M57" s="181">
        <f t="shared" si="7"/>
        <v>4</v>
      </c>
      <c r="N57" s="182" t="str">
        <f t="shared" si="8"/>
        <v>List empty</v>
      </c>
      <c r="O57" s="181">
        <f t="shared" si="9"/>
        <v>4</v>
      </c>
      <c r="P57" s="182" t="str">
        <f t="shared" si="10"/>
        <v>List empty</v>
      </c>
    </row>
    <row r="58" spans="3:16" hidden="1" x14ac:dyDescent="0.25">
      <c r="C58" s="390"/>
      <c r="D58" s="391"/>
      <c r="E58" s="85">
        <f t="shared" si="0"/>
        <v>0</v>
      </c>
      <c r="F58" s="53">
        <f t="shared" si="1"/>
        <v>0</v>
      </c>
      <c r="G58" s="54">
        <f t="shared" si="2"/>
        <v>0</v>
      </c>
      <c r="H58" s="212">
        <f t="shared" si="3"/>
        <v>0</v>
      </c>
      <c r="I58" s="213">
        <f t="shared" si="4"/>
        <v>0</v>
      </c>
      <c r="J58" s="78">
        <f t="shared" si="5"/>
        <v>0</v>
      </c>
      <c r="K58" s="368" t="str">
        <f t="shared" si="6"/>
        <v/>
      </c>
      <c r="L58" s="369"/>
      <c r="M58" s="181">
        <f t="shared" si="7"/>
        <v>4</v>
      </c>
      <c r="N58" s="182" t="str">
        <f t="shared" si="8"/>
        <v>List empty</v>
      </c>
      <c r="O58" s="181">
        <f t="shared" si="9"/>
        <v>4</v>
      </c>
      <c r="P58" s="182" t="str">
        <f t="shared" si="10"/>
        <v>List empty</v>
      </c>
    </row>
    <row r="59" spans="3:16" hidden="1" x14ac:dyDescent="0.25">
      <c r="C59" s="390"/>
      <c r="D59" s="391"/>
      <c r="E59" s="85">
        <f t="shared" si="0"/>
        <v>0</v>
      </c>
      <c r="F59" s="53">
        <f t="shared" si="1"/>
        <v>0</v>
      </c>
      <c r="G59" s="54">
        <f t="shared" si="2"/>
        <v>0</v>
      </c>
      <c r="H59" s="212">
        <f t="shared" si="3"/>
        <v>0</v>
      </c>
      <c r="I59" s="213">
        <f t="shared" si="4"/>
        <v>0</v>
      </c>
      <c r="J59" s="78">
        <f t="shared" si="5"/>
        <v>0</v>
      </c>
      <c r="K59" s="368" t="str">
        <f t="shared" si="6"/>
        <v/>
      </c>
      <c r="L59" s="369"/>
      <c r="M59" s="181">
        <f t="shared" si="7"/>
        <v>4</v>
      </c>
      <c r="N59" s="182" t="str">
        <f t="shared" si="8"/>
        <v>List empty</v>
      </c>
      <c r="O59" s="181">
        <f t="shared" si="9"/>
        <v>4</v>
      </c>
      <c r="P59" s="182" t="str">
        <f t="shared" si="10"/>
        <v>List empty</v>
      </c>
    </row>
    <row r="60" spans="3:16" hidden="1" x14ac:dyDescent="0.25">
      <c r="C60" s="390"/>
      <c r="D60" s="391"/>
      <c r="E60" s="85">
        <f t="shared" si="0"/>
        <v>0</v>
      </c>
      <c r="F60" s="53">
        <f t="shared" si="1"/>
        <v>0</v>
      </c>
      <c r="G60" s="54">
        <f t="shared" si="2"/>
        <v>0</v>
      </c>
      <c r="H60" s="212">
        <f t="shared" si="3"/>
        <v>0</v>
      </c>
      <c r="I60" s="213">
        <f t="shared" si="4"/>
        <v>0</v>
      </c>
      <c r="J60" s="78">
        <f t="shared" si="5"/>
        <v>0</v>
      </c>
      <c r="K60" s="368" t="str">
        <f t="shared" si="6"/>
        <v/>
      </c>
      <c r="L60" s="369"/>
      <c r="M60" s="181">
        <f t="shared" si="7"/>
        <v>4</v>
      </c>
      <c r="N60" s="182" t="str">
        <f t="shared" si="8"/>
        <v>List empty</v>
      </c>
      <c r="O60" s="181">
        <f t="shared" si="9"/>
        <v>4</v>
      </c>
      <c r="P60" s="182" t="str">
        <f t="shared" si="10"/>
        <v>List empty</v>
      </c>
    </row>
    <row r="61" spans="3:16" hidden="1" x14ac:dyDescent="0.25">
      <c r="C61" s="390"/>
      <c r="D61" s="391"/>
      <c r="E61" s="85">
        <f t="shared" si="0"/>
        <v>0</v>
      </c>
      <c r="F61" s="53">
        <f t="shared" si="1"/>
        <v>0</v>
      </c>
      <c r="G61" s="54">
        <f t="shared" si="2"/>
        <v>0</v>
      </c>
      <c r="H61" s="212">
        <f t="shared" si="3"/>
        <v>0</v>
      </c>
      <c r="I61" s="213">
        <f t="shared" si="4"/>
        <v>0</v>
      </c>
      <c r="J61" s="78">
        <f t="shared" si="5"/>
        <v>0</v>
      </c>
      <c r="K61" s="368" t="str">
        <f t="shared" si="6"/>
        <v/>
      </c>
      <c r="L61" s="369"/>
      <c r="M61" s="181">
        <f t="shared" si="7"/>
        <v>4</v>
      </c>
      <c r="N61" s="182" t="str">
        <f t="shared" si="8"/>
        <v>List empty</v>
      </c>
      <c r="O61" s="181">
        <f t="shared" si="9"/>
        <v>4</v>
      </c>
      <c r="P61" s="182" t="str">
        <f t="shared" si="10"/>
        <v>List empty</v>
      </c>
    </row>
    <row r="62" spans="3:16" hidden="1" x14ac:dyDescent="0.25">
      <c r="C62" s="390"/>
      <c r="D62" s="391"/>
      <c r="E62" s="85">
        <f t="shared" si="0"/>
        <v>0</v>
      </c>
      <c r="F62" s="53">
        <f t="shared" si="1"/>
        <v>0</v>
      </c>
      <c r="G62" s="54">
        <f t="shared" si="2"/>
        <v>0</v>
      </c>
      <c r="H62" s="212">
        <f t="shared" si="3"/>
        <v>0</v>
      </c>
      <c r="I62" s="213">
        <f t="shared" si="4"/>
        <v>0</v>
      </c>
      <c r="J62" s="78">
        <f t="shared" si="5"/>
        <v>0</v>
      </c>
      <c r="K62" s="368" t="str">
        <f t="shared" si="6"/>
        <v/>
      </c>
      <c r="L62" s="369"/>
      <c r="M62" s="181">
        <f t="shared" si="7"/>
        <v>4</v>
      </c>
      <c r="N62" s="182" t="str">
        <f t="shared" si="8"/>
        <v>List empty</v>
      </c>
      <c r="O62" s="181">
        <f t="shared" si="9"/>
        <v>4</v>
      </c>
      <c r="P62" s="182" t="str">
        <f t="shared" si="10"/>
        <v>List empty</v>
      </c>
    </row>
    <row r="63" spans="3:16" hidden="1" x14ac:dyDescent="0.25">
      <c r="C63" s="390"/>
      <c r="D63" s="391"/>
      <c r="E63" s="85">
        <f t="shared" si="0"/>
        <v>0</v>
      </c>
      <c r="F63" s="53">
        <f t="shared" si="1"/>
        <v>0</v>
      </c>
      <c r="G63" s="54">
        <f t="shared" si="2"/>
        <v>0</v>
      </c>
      <c r="H63" s="212">
        <f t="shared" si="3"/>
        <v>0</v>
      </c>
      <c r="I63" s="213">
        <f t="shared" si="4"/>
        <v>0</v>
      </c>
      <c r="J63" s="78">
        <f t="shared" si="5"/>
        <v>0</v>
      </c>
      <c r="K63" s="368" t="str">
        <f t="shared" si="6"/>
        <v/>
      </c>
      <c r="L63" s="369"/>
      <c r="M63" s="181">
        <f t="shared" si="7"/>
        <v>4</v>
      </c>
      <c r="N63" s="182" t="str">
        <f t="shared" si="8"/>
        <v>List empty</v>
      </c>
      <c r="O63" s="181">
        <f t="shared" si="9"/>
        <v>4</v>
      </c>
      <c r="P63" s="182" t="str">
        <f t="shared" si="10"/>
        <v>List empty</v>
      </c>
    </row>
    <row r="64" spans="3:16" hidden="1" x14ac:dyDescent="0.25">
      <c r="C64" s="390"/>
      <c r="D64" s="391"/>
      <c r="E64" s="85">
        <f t="shared" si="0"/>
        <v>0</v>
      </c>
      <c r="F64" s="53">
        <f t="shared" si="1"/>
        <v>0</v>
      </c>
      <c r="G64" s="54">
        <f t="shared" si="2"/>
        <v>0</v>
      </c>
      <c r="H64" s="212">
        <f t="shared" si="3"/>
        <v>0</v>
      </c>
      <c r="I64" s="213">
        <f t="shared" si="4"/>
        <v>0</v>
      </c>
      <c r="J64" s="78">
        <f t="shared" si="5"/>
        <v>0</v>
      </c>
      <c r="K64" s="368" t="str">
        <f t="shared" si="6"/>
        <v/>
      </c>
      <c r="L64" s="369"/>
      <c r="M64" s="181">
        <f t="shared" si="7"/>
        <v>4</v>
      </c>
      <c r="N64" s="182" t="str">
        <f t="shared" si="8"/>
        <v>List empty</v>
      </c>
      <c r="O64" s="181">
        <f t="shared" si="9"/>
        <v>4</v>
      </c>
      <c r="P64" s="182" t="str">
        <f t="shared" si="10"/>
        <v>List empty</v>
      </c>
    </row>
    <row r="65" spans="3:16" hidden="1" x14ac:dyDescent="0.25">
      <c r="C65" s="390"/>
      <c r="D65" s="391"/>
      <c r="E65" s="85">
        <f t="shared" si="0"/>
        <v>0</v>
      </c>
      <c r="F65" s="53">
        <f t="shared" si="1"/>
        <v>0</v>
      </c>
      <c r="G65" s="54">
        <f t="shared" si="2"/>
        <v>0</v>
      </c>
      <c r="H65" s="212">
        <f t="shared" si="3"/>
        <v>0</v>
      </c>
      <c r="I65" s="213">
        <f t="shared" si="4"/>
        <v>0</v>
      </c>
      <c r="J65" s="78">
        <f t="shared" si="5"/>
        <v>0</v>
      </c>
      <c r="K65" s="368" t="str">
        <f t="shared" si="6"/>
        <v/>
      </c>
      <c r="L65" s="369"/>
      <c r="M65" s="181">
        <f t="shared" si="7"/>
        <v>4</v>
      </c>
      <c r="N65" s="182" t="str">
        <f t="shared" si="8"/>
        <v>List empty</v>
      </c>
      <c r="O65" s="181">
        <f t="shared" si="9"/>
        <v>4</v>
      </c>
      <c r="P65" s="182" t="str">
        <f t="shared" si="10"/>
        <v>List empty</v>
      </c>
    </row>
    <row r="66" spans="3:16" hidden="1" x14ac:dyDescent="0.25">
      <c r="C66" s="390"/>
      <c r="D66" s="391"/>
      <c r="E66" s="85">
        <f t="shared" si="0"/>
        <v>0</v>
      </c>
      <c r="F66" s="53">
        <f t="shared" si="1"/>
        <v>0</v>
      </c>
      <c r="G66" s="54">
        <f t="shared" si="2"/>
        <v>0</v>
      </c>
      <c r="H66" s="212">
        <f t="shared" si="3"/>
        <v>0</v>
      </c>
      <c r="I66" s="213">
        <f t="shared" si="4"/>
        <v>0</v>
      </c>
      <c r="J66" s="78">
        <f t="shared" si="5"/>
        <v>0</v>
      </c>
      <c r="K66" s="368" t="str">
        <f t="shared" si="6"/>
        <v/>
      </c>
      <c r="L66" s="369"/>
      <c r="M66" s="181">
        <f t="shared" si="7"/>
        <v>4</v>
      </c>
      <c r="N66" s="182" t="str">
        <f t="shared" si="8"/>
        <v>List empty</v>
      </c>
      <c r="O66" s="181">
        <f t="shared" si="9"/>
        <v>4</v>
      </c>
      <c r="P66" s="182" t="str">
        <f t="shared" si="10"/>
        <v>List empty</v>
      </c>
    </row>
    <row r="67" spans="3:16" hidden="1" x14ac:dyDescent="0.25">
      <c r="C67" s="390"/>
      <c r="D67" s="391"/>
      <c r="E67" s="85">
        <f t="shared" si="0"/>
        <v>0</v>
      </c>
      <c r="F67" s="53">
        <f t="shared" si="1"/>
        <v>0</v>
      </c>
      <c r="G67" s="54">
        <f t="shared" si="2"/>
        <v>0</v>
      </c>
      <c r="H67" s="212">
        <f t="shared" si="3"/>
        <v>0</v>
      </c>
      <c r="I67" s="213">
        <f t="shared" si="4"/>
        <v>0</v>
      </c>
      <c r="J67" s="78">
        <f t="shared" si="5"/>
        <v>0</v>
      </c>
      <c r="K67" s="368" t="str">
        <f t="shared" si="6"/>
        <v/>
      </c>
      <c r="L67" s="369"/>
      <c r="M67" s="181">
        <f t="shared" si="7"/>
        <v>4</v>
      </c>
      <c r="N67" s="182" t="str">
        <f t="shared" si="8"/>
        <v>List empty</v>
      </c>
      <c r="O67" s="181">
        <f t="shared" si="9"/>
        <v>4</v>
      </c>
      <c r="P67" s="182" t="str">
        <f t="shared" si="10"/>
        <v>List empty</v>
      </c>
    </row>
    <row r="68" spans="3:16" ht="15.75" thickBot="1" x14ac:dyDescent="0.3">
      <c r="C68" s="420" t="s">
        <v>71</v>
      </c>
      <c r="D68" s="421"/>
      <c r="E68" s="94">
        <f>COUNTA($F$95:$F$494)-SUM($E$48:$E$67)</f>
        <v>0</v>
      </c>
      <c r="F68" s="163">
        <f>COUNTIF($W$95:$W$494, "OK")-SUM($F$48:$F$67)</f>
        <v>0</v>
      </c>
      <c r="G68" s="164">
        <f>COUNTIF($W$95:$W$494, "NOK")-SUM($G$48:$G$67)</f>
        <v>0</v>
      </c>
      <c r="H68" s="165">
        <f>COUNTA($F$95:$F$494)-(COUNTIF($O$95:$O$494, "OK")+COUNTIF($O$95:$O$494,"NOK")+COUNTIF($O$95:$O$494,"Fixed"))-SUM($H$48:$H$67)</f>
        <v>0</v>
      </c>
      <c r="I68" s="166">
        <f>COUNTIF($J$95:$J$494, "OK")+COUNTIF($J$95:$J$494, "NOK")+COUNTIF($J$95:$J$494, "Not Tested")+COUNTIF($J$95:$J$494, "Already Tested")-(COUNTIF($W$95:$W$494, "OK")+COUNTIF($W$95:$W$494, "NOK"))-SUM($I$48:$I$67)</f>
        <v>0</v>
      </c>
      <c r="J68" s="214">
        <f>COUNTIF(O95:O494, "NOK")-SUM(J48:J67)</f>
        <v>0</v>
      </c>
      <c r="K68" s="368" t="str">
        <f t="shared" si="6"/>
        <v/>
      </c>
      <c r="L68" s="369"/>
      <c r="M68" s="183">
        <f t="shared" si="7"/>
        <v>4</v>
      </c>
      <c r="N68" s="184" t="str">
        <f t="shared" si="8"/>
        <v>List empty</v>
      </c>
      <c r="O68" s="183">
        <f>IF((E68-H68)=0,4,IF(I68&gt;0,IF(G68&gt;0,2,1),IF(G68&gt;0,3,0)))</f>
        <v>4</v>
      </c>
      <c r="P68" s="184" t="str">
        <f>IF((E68-H68)=0,"List empty",IF(I68&gt;0,IF(G68&gt;0,"Errors found, Reviews open","Reviews open"),IF(G68&gt;0,"Reviews completed, Errors found","Reviews completed")))</f>
        <v>List empty</v>
      </c>
    </row>
    <row r="69" spans="3:16" ht="15.75" thickBot="1" x14ac:dyDescent="0.3">
      <c r="C69" s="424" t="s">
        <v>70</v>
      </c>
      <c r="D69" s="425"/>
      <c r="E69" s="86">
        <f t="shared" ref="E69:J69" si="11">SUM(E48:E68)</f>
        <v>0</v>
      </c>
      <c r="F69" s="79">
        <f t="shared" si="11"/>
        <v>0</v>
      </c>
      <c r="G69" s="80">
        <f t="shared" si="11"/>
        <v>0</v>
      </c>
      <c r="H69" s="81">
        <f t="shared" si="11"/>
        <v>0</v>
      </c>
      <c r="I69" s="82">
        <f t="shared" si="11"/>
        <v>0</v>
      </c>
      <c r="J69" s="87">
        <f t="shared" si="11"/>
        <v>0</v>
      </c>
      <c r="K69" s="422" t="str">
        <f>IF(COUNT(K48:K68)&gt;0, AVERAGE(K48:K68), "")</f>
        <v/>
      </c>
      <c r="L69" s="423"/>
      <c r="M69" s="89">
        <f>IF(E69=0,4,IF(COUNTIF(M48:M68,"=3")&gt;0,3,IF(COUNTIF(M48:M68,"=2")&gt;0,2,IF(COUNTIF(M48:M68,"=1")&gt;0,1,0))))</f>
        <v>4</v>
      </c>
      <c r="N69" s="83" t="str">
        <f>IF(E69=0,"List empty",IF(COUNTIF(M48:M68,3)&gt;0,"Errors in Tests",IF(COUNTIF(M48:M68,2)&gt;0,"Errors in Tests, Tests open",IF(COUNTIF(M48:M68,1)&gt;0,"Tests open","Tests completed"))))</f>
        <v>List empty</v>
      </c>
      <c r="O69" s="89">
        <f>IF((E69-H69)=0,4,IF(COUNTIF(O48:O68,"=3")&gt;0,3,IF(COUNTIF(O48:O68,"=2")&gt;0,2,IF(COUNTIF(O48:O68,"=1")&gt;0,1,0))))</f>
        <v>4</v>
      </c>
      <c r="P69" s="83" t="str">
        <f>IF((E69-H69)=0,"List empty",IF(COUNTIF(O48:O68,"=3")&gt;0,"Errors in Reviews",IF(COUNTIF(O48:O68,"=2")&gt;0,"Errors in Reviews, Reviews open",IF(COUNTIF(O48:O68,"=1")&gt;0,"Reviews open","Reviews completed"))))</f>
        <v>List empty</v>
      </c>
    </row>
    <row r="71" spans="3:16" hidden="1" x14ac:dyDescent="0.25"/>
    <row r="72" spans="3:16" hidden="1" x14ac:dyDescent="0.25"/>
    <row r="73" spans="3:16" hidden="1" x14ac:dyDescent="0.25"/>
    <row r="74" spans="3:16" hidden="1" x14ac:dyDescent="0.25"/>
    <row r="75" spans="3:16" hidden="1" x14ac:dyDescent="0.25"/>
    <row r="76" spans="3:16" hidden="1" x14ac:dyDescent="0.25"/>
    <row r="77" spans="3:16" hidden="1" x14ac:dyDescent="0.25"/>
    <row r="78" spans="3:16" hidden="1" x14ac:dyDescent="0.25"/>
    <row r="80" spans="3:16" x14ac:dyDescent="0.25">
      <c r="C80" s="426" t="s">
        <v>48</v>
      </c>
      <c r="D80" s="427"/>
      <c r="E80" s="434"/>
      <c r="F80" s="435"/>
      <c r="G80" s="435"/>
      <c r="H80" s="435"/>
      <c r="I80" s="435"/>
      <c r="J80" s="435"/>
      <c r="K80" s="435"/>
      <c r="L80" s="436"/>
    </row>
    <row r="81" spans="1:28" x14ac:dyDescent="0.25">
      <c r="E81" s="437"/>
      <c r="F81" s="438"/>
      <c r="G81" s="438"/>
      <c r="H81" s="438"/>
      <c r="I81" s="438"/>
      <c r="J81" s="438"/>
      <c r="K81" s="438"/>
      <c r="L81" s="439"/>
    </row>
    <row r="82" spans="1:28" x14ac:dyDescent="0.25">
      <c r="E82" s="437"/>
      <c r="F82" s="438"/>
      <c r="G82" s="438"/>
      <c r="H82" s="438"/>
      <c r="I82" s="438"/>
      <c r="J82" s="438"/>
      <c r="K82" s="438"/>
      <c r="L82" s="439"/>
    </row>
    <row r="83" spans="1:28" x14ac:dyDescent="0.25">
      <c r="E83" s="437"/>
      <c r="F83" s="438"/>
      <c r="G83" s="438"/>
      <c r="H83" s="438"/>
      <c r="I83" s="438"/>
      <c r="J83" s="438"/>
      <c r="K83" s="438"/>
      <c r="L83" s="439"/>
    </row>
    <row r="84" spans="1:28" x14ac:dyDescent="0.25">
      <c r="E84" s="440"/>
      <c r="F84" s="441"/>
      <c r="G84" s="441"/>
      <c r="H84" s="441"/>
      <c r="I84" s="441"/>
      <c r="J84" s="441"/>
      <c r="K84" s="441"/>
      <c r="L84" s="442"/>
    </row>
    <row r="86" spans="1:28" x14ac:dyDescent="0.25">
      <c r="C86" s="426" t="s">
        <v>108</v>
      </c>
      <c r="D86" s="428"/>
      <c r="E86" s="429" t="s">
        <v>112</v>
      </c>
      <c r="F86" s="167" t="s">
        <v>109</v>
      </c>
      <c r="G86" s="169"/>
      <c r="H86" s="170" t="s">
        <v>110</v>
      </c>
      <c r="I86" s="171"/>
      <c r="N86" s="385" t="s">
        <v>117</v>
      </c>
      <c r="O86" s="174" t="s">
        <v>115</v>
      </c>
      <c r="P86" s="172" t="s">
        <v>177</v>
      </c>
    </row>
    <row r="87" spans="1:28" ht="15.75" thickBot="1" x14ac:dyDescent="0.3">
      <c r="E87" s="430"/>
      <c r="F87" s="168" t="s">
        <v>111</v>
      </c>
      <c r="G87" s="431"/>
      <c r="H87" s="432"/>
      <c r="I87" s="432"/>
      <c r="J87" s="432"/>
      <c r="K87" s="432"/>
      <c r="L87" s="433"/>
      <c r="N87" s="386"/>
      <c r="O87" s="175" t="s">
        <v>116</v>
      </c>
      <c r="P87" s="173" t="s">
        <v>178</v>
      </c>
    </row>
    <row r="89" spans="1:28" hidden="1" x14ac:dyDescent="0.25"/>
    <row r="91" spans="1:28" x14ac:dyDescent="0.25">
      <c r="A91" s="18" t="s">
        <v>21</v>
      </c>
      <c r="B91" s="18"/>
    </row>
    <row r="92" spans="1:28" ht="15.75" thickBot="1" x14ac:dyDescent="0.3"/>
    <row r="93" spans="1:28" ht="15.75" thickBot="1" x14ac:dyDescent="0.3">
      <c r="A93" s="392" t="s">
        <v>67</v>
      </c>
      <c r="B93" s="387" t="s">
        <v>26</v>
      </c>
      <c r="C93" s="395" t="s">
        <v>27</v>
      </c>
      <c r="D93" s="397" t="s">
        <v>42</v>
      </c>
      <c r="E93" s="397" t="s">
        <v>131</v>
      </c>
      <c r="F93" s="399" t="s">
        <v>29</v>
      </c>
      <c r="G93" s="399"/>
      <c r="H93" s="399"/>
      <c r="I93" s="399"/>
      <c r="J93" s="443" t="s">
        <v>31</v>
      </c>
      <c r="K93" s="444"/>
      <c r="L93" s="444"/>
      <c r="M93" s="444"/>
      <c r="N93" s="444"/>
      <c r="O93" s="445"/>
      <c r="P93" s="399" t="s">
        <v>85</v>
      </c>
      <c r="Q93" s="448"/>
      <c r="R93" s="443" t="s">
        <v>36</v>
      </c>
      <c r="S93" s="444"/>
      <c r="T93" s="444"/>
      <c r="U93" s="444"/>
      <c r="V93" s="445"/>
      <c r="W93" s="407" t="s">
        <v>37</v>
      </c>
      <c r="X93" s="408"/>
      <c r="Y93" s="408"/>
      <c r="Z93" s="409"/>
      <c r="AA93" s="361" t="s">
        <v>132</v>
      </c>
      <c r="AB93" s="74"/>
    </row>
    <row r="94" spans="1:28" ht="15.75" thickBot="1" x14ac:dyDescent="0.3">
      <c r="A94" s="392"/>
      <c r="B94" s="388"/>
      <c r="C94" s="396"/>
      <c r="D94" s="398"/>
      <c r="E94" s="398"/>
      <c r="F94" s="55" t="s">
        <v>22</v>
      </c>
      <c r="G94" s="400" t="s">
        <v>30</v>
      </c>
      <c r="H94" s="400"/>
      <c r="I94" s="401"/>
      <c r="J94" s="204" t="s">
        <v>135</v>
      </c>
      <c r="K94" s="205" t="s">
        <v>33</v>
      </c>
      <c r="L94" s="205" t="s">
        <v>34</v>
      </c>
      <c r="M94" s="205" t="s">
        <v>98</v>
      </c>
      <c r="N94" s="206" t="s">
        <v>35</v>
      </c>
      <c r="O94" s="180" t="s">
        <v>32</v>
      </c>
      <c r="P94" s="449"/>
      <c r="Q94" s="450"/>
      <c r="R94" s="179" t="s">
        <v>133</v>
      </c>
      <c r="S94" s="446" t="s">
        <v>61</v>
      </c>
      <c r="T94" s="447"/>
      <c r="U94" s="377" t="s">
        <v>73</v>
      </c>
      <c r="V94" s="378"/>
      <c r="W94" s="55" t="s">
        <v>38</v>
      </c>
      <c r="X94" s="58" t="s">
        <v>39</v>
      </c>
      <c r="Y94" s="178" t="s">
        <v>34</v>
      </c>
      <c r="Z94" s="57" t="s">
        <v>40</v>
      </c>
      <c r="AA94" s="362"/>
      <c r="AB94" s="74"/>
    </row>
    <row r="95" spans="1:28" ht="15.75" thickBot="1" x14ac:dyDescent="0.3">
      <c r="A95" s="30">
        <v>1</v>
      </c>
      <c r="B95" s="192"/>
      <c r="C95" s="186"/>
      <c r="D95" s="101"/>
      <c r="E95" s="207"/>
      <c r="F95" s="90"/>
      <c r="G95" s="393"/>
      <c r="H95" s="394"/>
      <c r="I95" s="394"/>
      <c r="J95" s="102"/>
      <c r="K95" s="103" t="s">
        <v>97</v>
      </c>
      <c r="L95" s="118" t="s">
        <v>97</v>
      </c>
      <c r="M95" s="134" t="s">
        <v>97</v>
      </c>
      <c r="N95" s="122" t="s">
        <v>97</v>
      </c>
      <c r="O95" s="211"/>
      <c r="P95" s="451"/>
      <c r="Q95" s="452"/>
      <c r="R95" s="249" t="s">
        <v>97</v>
      </c>
      <c r="S95" s="113" t="s">
        <v>72</v>
      </c>
      <c r="T95" s="113" t="s">
        <v>134</v>
      </c>
      <c r="U95" s="131"/>
      <c r="V95" s="114" t="s">
        <v>74</v>
      </c>
      <c r="W95" s="115"/>
      <c r="X95" s="116"/>
      <c r="Y95" s="126"/>
      <c r="Z95" s="129"/>
      <c r="AA95" s="141"/>
      <c r="AB95" s="73"/>
    </row>
    <row r="96" spans="1:28" ht="15.75" thickBot="1" x14ac:dyDescent="0.3">
      <c r="A96" s="31">
        <v>2</v>
      </c>
      <c r="B96" s="193"/>
      <c r="C96" s="187" t="s">
        <v>97</v>
      </c>
      <c r="D96" s="104" t="s">
        <v>97</v>
      </c>
      <c r="E96" s="252"/>
      <c r="F96" s="91"/>
      <c r="G96" s="381" t="s">
        <v>97</v>
      </c>
      <c r="H96" s="382"/>
      <c r="I96" s="382"/>
      <c r="J96" s="105" t="s">
        <v>97</v>
      </c>
      <c r="K96" s="106" t="s">
        <v>97</v>
      </c>
      <c r="L96" s="119" t="s">
        <v>97</v>
      </c>
      <c r="M96" s="135" t="s">
        <v>97</v>
      </c>
      <c r="N96" s="123" t="s">
        <v>97</v>
      </c>
      <c r="O96" s="208"/>
      <c r="P96" s="410"/>
      <c r="Q96" s="411"/>
      <c r="R96" s="197" t="s">
        <v>97</v>
      </c>
      <c r="S96" s="113" t="s">
        <v>72</v>
      </c>
      <c r="T96" s="113" t="s">
        <v>134</v>
      </c>
      <c r="U96" s="132"/>
      <c r="V96" s="114" t="s">
        <v>74</v>
      </c>
      <c r="W96" s="105"/>
      <c r="X96" s="117"/>
      <c r="Y96" s="119"/>
      <c r="Z96" s="130"/>
      <c r="AA96" s="138"/>
      <c r="AB96" s="73"/>
    </row>
    <row r="97" spans="1:28" ht="15.75" thickBot="1" x14ac:dyDescent="0.3">
      <c r="A97" s="31">
        <v>3</v>
      </c>
      <c r="B97" s="193"/>
      <c r="C97" s="187" t="s">
        <v>97</v>
      </c>
      <c r="D97" s="104" t="s">
        <v>97</v>
      </c>
      <c r="E97" s="208" t="s">
        <v>97</v>
      </c>
      <c r="F97" s="91"/>
      <c r="G97" s="381" t="s">
        <v>97</v>
      </c>
      <c r="H97" s="382"/>
      <c r="I97" s="382"/>
      <c r="J97" s="105" t="s">
        <v>97</v>
      </c>
      <c r="K97" s="106" t="s">
        <v>97</v>
      </c>
      <c r="L97" s="119" t="s">
        <v>97</v>
      </c>
      <c r="M97" s="135" t="s">
        <v>97</v>
      </c>
      <c r="N97" s="123" t="s">
        <v>97</v>
      </c>
      <c r="O97" s="208"/>
      <c r="P97" s="410"/>
      <c r="Q97" s="411"/>
      <c r="R97" s="197" t="s">
        <v>97</v>
      </c>
      <c r="S97" s="113" t="s">
        <v>72</v>
      </c>
      <c r="T97" s="113" t="s">
        <v>134</v>
      </c>
      <c r="U97" s="132"/>
      <c r="V97" s="114" t="s">
        <v>74</v>
      </c>
      <c r="W97" s="105"/>
      <c r="X97" s="117"/>
      <c r="Y97" s="119"/>
      <c r="Z97" s="130"/>
      <c r="AA97" s="138"/>
      <c r="AB97" s="73"/>
    </row>
    <row r="98" spans="1:28" ht="15.75" thickBot="1" x14ac:dyDescent="0.3">
      <c r="A98" s="31">
        <v>4</v>
      </c>
      <c r="B98" s="193"/>
      <c r="C98" s="187" t="s">
        <v>97</v>
      </c>
      <c r="D98" s="104" t="s">
        <v>97</v>
      </c>
      <c r="E98" s="208" t="s">
        <v>97</v>
      </c>
      <c r="F98" s="91"/>
      <c r="G98" s="381" t="s">
        <v>97</v>
      </c>
      <c r="H98" s="382"/>
      <c r="I98" s="382"/>
      <c r="J98" s="105" t="s">
        <v>97</v>
      </c>
      <c r="K98" s="106" t="s">
        <v>97</v>
      </c>
      <c r="L98" s="119" t="s">
        <v>97</v>
      </c>
      <c r="M98" s="135" t="s">
        <v>97</v>
      </c>
      <c r="N98" s="123" t="s">
        <v>97</v>
      </c>
      <c r="O98" s="208"/>
      <c r="P98" s="410"/>
      <c r="Q98" s="411"/>
      <c r="R98" s="197" t="s">
        <v>97</v>
      </c>
      <c r="S98" s="113" t="s">
        <v>72</v>
      </c>
      <c r="T98" s="113" t="s">
        <v>134</v>
      </c>
      <c r="U98" s="132"/>
      <c r="V98" s="114" t="s">
        <v>74</v>
      </c>
      <c r="W98" s="105"/>
      <c r="X98" s="117"/>
      <c r="Y98" s="119"/>
      <c r="Z98" s="130"/>
      <c r="AA98" s="138"/>
      <c r="AB98" s="73"/>
    </row>
    <row r="99" spans="1:28" ht="15.75" thickBot="1" x14ac:dyDescent="0.3">
      <c r="A99" s="31">
        <v>5</v>
      </c>
      <c r="B99" s="193"/>
      <c r="C99" s="187" t="s">
        <v>97</v>
      </c>
      <c r="D99" s="104" t="s">
        <v>97</v>
      </c>
      <c r="E99" s="208" t="s">
        <v>97</v>
      </c>
      <c r="F99" s="91"/>
      <c r="G99" s="381" t="s">
        <v>97</v>
      </c>
      <c r="H99" s="382"/>
      <c r="I99" s="382"/>
      <c r="J99" s="105" t="s">
        <v>97</v>
      </c>
      <c r="K99" s="106" t="s">
        <v>97</v>
      </c>
      <c r="L99" s="119" t="s">
        <v>97</v>
      </c>
      <c r="M99" s="135" t="s">
        <v>97</v>
      </c>
      <c r="N99" s="123" t="s">
        <v>97</v>
      </c>
      <c r="O99" s="208"/>
      <c r="P99" s="410"/>
      <c r="Q99" s="411"/>
      <c r="R99" s="197" t="s">
        <v>97</v>
      </c>
      <c r="S99" s="113" t="s">
        <v>72</v>
      </c>
      <c r="T99" s="113" t="s">
        <v>134</v>
      </c>
      <c r="U99" s="132"/>
      <c r="V99" s="114" t="s">
        <v>74</v>
      </c>
      <c r="W99" s="105"/>
      <c r="X99" s="117"/>
      <c r="Y99" s="119"/>
      <c r="Z99" s="130"/>
      <c r="AA99" s="138"/>
      <c r="AB99" s="73"/>
    </row>
    <row r="100" spans="1:28" ht="15.75" thickBot="1" x14ac:dyDescent="0.3">
      <c r="A100" s="31">
        <v>6</v>
      </c>
      <c r="B100" s="193"/>
      <c r="C100" s="187" t="s">
        <v>97</v>
      </c>
      <c r="D100" s="104" t="s">
        <v>97</v>
      </c>
      <c r="E100" s="208" t="s">
        <v>97</v>
      </c>
      <c r="F100" s="91"/>
      <c r="G100" s="381" t="s">
        <v>97</v>
      </c>
      <c r="H100" s="382"/>
      <c r="I100" s="382"/>
      <c r="J100" s="105" t="s">
        <v>97</v>
      </c>
      <c r="K100" s="106" t="s">
        <v>97</v>
      </c>
      <c r="L100" s="119" t="s">
        <v>97</v>
      </c>
      <c r="M100" s="135" t="s">
        <v>97</v>
      </c>
      <c r="N100" s="123" t="s">
        <v>97</v>
      </c>
      <c r="O100" s="208"/>
      <c r="P100" s="410"/>
      <c r="Q100" s="411"/>
      <c r="R100" s="197" t="s">
        <v>97</v>
      </c>
      <c r="S100" s="113" t="s">
        <v>72</v>
      </c>
      <c r="T100" s="113" t="s">
        <v>134</v>
      </c>
      <c r="U100" s="132"/>
      <c r="V100" s="114" t="s">
        <v>74</v>
      </c>
      <c r="W100" s="105"/>
      <c r="X100" s="117"/>
      <c r="Y100" s="119"/>
      <c r="Z100" s="130"/>
      <c r="AA100" s="138"/>
      <c r="AB100" s="73"/>
    </row>
    <row r="101" spans="1:28" ht="15.75" thickBot="1" x14ac:dyDescent="0.3">
      <c r="A101" s="31">
        <v>7</v>
      </c>
      <c r="B101" s="193"/>
      <c r="C101" s="187" t="s">
        <v>97</v>
      </c>
      <c r="D101" s="104" t="s">
        <v>97</v>
      </c>
      <c r="E101" s="208" t="s">
        <v>97</v>
      </c>
      <c r="F101" s="91"/>
      <c r="G101" s="381" t="s">
        <v>97</v>
      </c>
      <c r="H101" s="382"/>
      <c r="I101" s="382"/>
      <c r="J101" s="105" t="s">
        <v>97</v>
      </c>
      <c r="K101" s="106" t="s">
        <v>97</v>
      </c>
      <c r="L101" s="119" t="s">
        <v>97</v>
      </c>
      <c r="M101" s="135" t="s">
        <v>97</v>
      </c>
      <c r="N101" s="123" t="s">
        <v>97</v>
      </c>
      <c r="O101" s="208"/>
      <c r="P101" s="410"/>
      <c r="Q101" s="411"/>
      <c r="R101" s="197" t="s">
        <v>97</v>
      </c>
      <c r="S101" s="113" t="s">
        <v>72</v>
      </c>
      <c r="T101" s="113" t="s">
        <v>134</v>
      </c>
      <c r="U101" s="132"/>
      <c r="V101" s="114" t="s">
        <v>74</v>
      </c>
      <c r="W101" s="105"/>
      <c r="X101" s="117"/>
      <c r="Y101" s="119"/>
      <c r="Z101" s="130"/>
      <c r="AA101" s="138"/>
      <c r="AB101" s="73"/>
    </row>
    <row r="102" spans="1:28" ht="15.75" thickBot="1" x14ac:dyDescent="0.3">
      <c r="A102" s="31">
        <v>8</v>
      </c>
      <c r="B102" s="193"/>
      <c r="C102" s="187" t="s">
        <v>97</v>
      </c>
      <c r="D102" s="104" t="s">
        <v>97</v>
      </c>
      <c r="E102" s="208" t="s">
        <v>97</v>
      </c>
      <c r="F102" s="91"/>
      <c r="G102" s="381" t="s">
        <v>97</v>
      </c>
      <c r="H102" s="382"/>
      <c r="I102" s="382"/>
      <c r="J102" s="105" t="s">
        <v>97</v>
      </c>
      <c r="K102" s="106" t="s">
        <v>97</v>
      </c>
      <c r="L102" s="119" t="s">
        <v>97</v>
      </c>
      <c r="M102" s="135" t="s">
        <v>97</v>
      </c>
      <c r="N102" s="123" t="s">
        <v>97</v>
      </c>
      <c r="O102" s="208"/>
      <c r="P102" s="410"/>
      <c r="Q102" s="411"/>
      <c r="R102" s="197" t="s">
        <v>97</v>
      </c>
      <c r="S102" s="113" t="s">
        <v>72</v>
      </c>
      <c r="T102" s="113" t="s">
        <v>134</v>
      </c>
      <c r="U102" s="132"/>
      <c r="V102" s="114" t="s">
        <v>74</v>
      </c>
      <c r="W102" s="105"/>
      <c r="X102" s="117"/>
      <c r="Y102" s="119"/>
      <c r="Z102" s="130"/>
      <c r="AA102" s="138"/>
      <c r="AB102" s="73"/>
    </row>
    <row r="103" spans="1:28" ht="15.75" thickBot="1" x14ac:dyDescent="0.3">
      <c r="A103" s="31">
        <v>9</v>
      </c>
      <c r="B103" s="193"/>
      <c r="C103" s="187" t="s">
        <v>97</v>
      </c>
      <c r="D103" s="104" t="s">
        <v>97</v>
      </c>
      <c r="E103" s="208" t="s">
        <v>97</v>
      </c>
      <c r="F103" s="91"/>
      <c r="G103" s="381" t="s">
        <v>97</v>
      </c>
      <c r="H103" s="382"/>
      <c r="I103" s="382"/>
      <c r="J103" s="105" t="s">
        <v>97</v>
      </c>
      <c r="K103" s="106" t="s">
        <v>97</v>
      </c>
      <c r="L103" s="119" t="s">
        <v>97</v>
      </c>
      <c r="M103" s="135" t="s">
        <v>97</v>
      </c>
      <c r="N103" s="123" t="s">
        <v>97</v>
      </c>
      <c r="O103" s="208"/>
      <c r="P103" s="410"/>
      <c r="Q103" s="411"/>
      <c r="R103" s="197" t="s">
        <v>97</v>
      </c>
      <c r="S103" s="113" t="s">
        <v>72</v>
      </c>
      <c r="T103" s="113" t="s">
        <v>134</v>
      </c>
      <c r="U103" s="132"/>
      <c r="V103" s="114" t="s">
        <v>74</v>
      </c>
      <c r="W103" s="105"/>
      <c r="X103" s="117"/>
      <c r="Y103" s="119"/>
      <c r="Z103" s="130"/>
      <c r="AA103" s="138"/>
      <c r="AB103" s="73"/>
    </row>
    <row r="104" spans="1:28" ht="15.75" thickBot="1" x14ac:dyDescent="0.3">
      <c r="A104" s="31">
        <v>10</v>
      </c>
      <c r="B104" s="193"/>
      <c r="C104" s="187" t="s">
        <v>97</v>
      </c>
      <c r="D104" s="104" t="s">
        <v>97</v>
      </c>
      <c r="E104" s="208" t="s">
        <v>97</v>
      </c>
      <c r="F104" s="91"/>
      <c r="G104" s="381" t="s">
        <v>97</v>
      </c>
      <c r="H104" s="382"/>
      <c r="I104" s="382"/>
      <c r="J104" s="105" t="s">
        <v>97</v>
      </c>
      <c r="K104" s="106" t="s">
        <v>97</v>
      </c>
      <c r="L104" s="119" t="s">
        <v>97</v>
      </c>
      <c r="M104" s="135" t="s">
        <v>97</v>
      </c>
      <c r="N104" s="123" t="s">
        <v>97</v>
      </c>
      <c r="O104" s="208"/>
      <c r="P104" s="410"/>
      <c r="Q104" s="411"/>
      <c r="R104" s="197" t="s">
        <v>97</v>
      </c>
      <c r="S104" s="113" t="s">
        <v>72</v>
      </c>
      <c r="T104" s="113" t="s">
        <v>134</v>
      </c>
      <c r="U104" s="132"/>
      <c r="V104" s="114" t="s">
        <v>74</v>
      </c>
      <c r="W104" s="105"/>
      <c r="X104" s="117"/>
      <c r="Y104" s="119"/>
      <c r="Z104" s="130"/>
      <c r="AA104" s="138"/>
      <c r="AB104" s="73"/>
    </row>
    <row r="105" spans="1:28" ht="15.75" thickBot="1" x14ac:dyDescent="0.3">
      <c r="A105" s="31">
        <v>11</v>
      </c>
      <c r="B105" s="193"/>
      <c r="C105" s="187" t="s">
        <v>97</v>
      </c>
      <c r="D105" s="104" t="s">
        <v>97</v>
      </c>
      <c r="E105" s="208" t="s">
        <v>97</v>
      </c>
      <c r="F105" s="91"/>
      <c r="G105" s="381" t="s">
        <v>97</v>
      </c>
      <c r="H105" s="382"/>
      <c r="I105" s="382"/>
      <c r="J105" s="105" t="s">
        <v>97</v>
      </c>
      <c r="K105" s="106" t="s">
        <v>97</v>
      </c>
      <c r="L105" s="119" t="s">
        <v>97</v>
      </c>
      <c r="M105" s="135" t="s">
        <v>97</v>
      </c>
      <c r="N105" s="123" t="s">
        <v>97</v>
      </c>
      <c r="O105" s="208"/>
      <c r="P105" s="410"/>
      <c r="Q105" s="411"/>
      <c r="R105" s="197" t="s">
        <v>97</v>
      </c>
      <c r="S105" s="113" t="s">
        <v>72</v>
      </c>
      <c r="T105" s="113" t="s">
        <v>134</v>
      </c>
      <c r="U105" s="132"/>
      <c r="V105" s="114" t="s">
        <v>74</v>
      </c>
      <c r="W105" s="105"/>
      <c r="X105" s="117"/>
      <c r="Y105" s="119"/>
      <c r="Z105" s="130"/>
      <c r="AA105" s="138"/>
      <c r="AB105" s="73"/>
    </row>
    <row r="106" spans="1:28" ht="15.75" thickBot="1" x14ac:dyDescent="0.3">
      <c r="A106" s="31">
        <v>12</v>
      </c>
      <c r="B106" s="193"/>
      <c r="C106" s="187" t="s">
        <v>97</v>
      </c>
      <c r="D106" s="104" t="s">
        <v>97</v>
      </c>
      <c r="E106" s="208" t="s">
        <v>97</v>
      </c>
      <c r="F106" s="91"/>
      <c r="G106" s="381" t="s">
        <v>97</v>
      </c>
      <c r="H106" s="382"/>
      <c r="I106" s="382"/>
      <c r="J106" s="105" t="s">
        <v>97</v>
      </c>
      <c r="K106" s="106" t="s">
        <v>97</v>
      </c>
      <c r="L106" s="119" t="s">
        <v>97</v>
      </c>
      <c r="M106" s="135" t="s">
        <v>97</v>
      </c>
      <c r="N106" s="123" t="s">
        <v>97</v>
      </c>
      <c r="O106" s="208"/>
      <c r="P106" s="410"/>
      <c r="Q106" s="411"/>
      <c r="R106" s="197" t="s">
        <v>97</v>
      </c>
      <c r="S106" s="113" t="s">
        <v>72</v>
      </c>
      <c r="T106" s="113" t="s">
        <v>134</v>
      </c>
      <c r="U106" s="132"/>
      <c r="V106" s="114" t="s">
        <v>74</v>
      </c>
      <c r="W106" s="105"/>
      <c r="X106" s="117"/>
      <c r="Y106" s="119"/>
      <c r="Z106" s="130"/>
      <c r="AA106" s="138"/>
      <c r="AB106" s="73"/>
    </row>
    <row r="107" spans="1:28" ht="15.75" thickBot="1" x14ac:dyDescent="0.3">
      <c r="A107" s="31">
        <v>13</v>
      </c>
      <c r="B107" s="193"/>
      <c r="C107" s="187" t="s">
        <v>97</v>
      </c>
      <c r="D107" s="104" t="s">
        <v>97</v>
      </c>
      <c r="E107" s="208" t="s">
        <v>97</v>
      </c>
      <c r="F107" s="91"/>
      <c r="G107" s="381" t="s">
        <v>97</v>
      </c>
      <c r="H107" s="382"/>
      <c r="I107" s="382"/>
      <c r="J107" s="105" t="s">
        <v>97</v>
      </c>
      <c r="K107" s="106" t="s">
        <v>97</v>
      </c>
      <c r="L107" s="119" t="s">
        <v>97</v>
      </c>
      <c r="M107" s="135" t="s">
        <v>97</v>
      </c>
      <c r="N107" s="123" t="s">
        <v>97</v>
      </c>
      <c r="O107" s="208"/>
      <c r="P107" s="410"/>
      <c r="Q107" s="411"/>
      <c r="R107" s="197" t="s">
        <v>97</v>
      </c>
      <c r="S107" s="113" t="s">
        <v>72</v>
      </c>
      <c r="T107" s="113" t="s">
        <v>134</v>
      </c>
      <c r="U107" s="132"/>
      <c r="V107" s="114" t="s">
        <v>74</v>
      </c>
      <c r="W107" s="105"/>
      <c r="X107" s="117"/>
      <c r="Y107" s="119"/>
      <c r="Z107" s="130"/>
      <c r="AA107" s="138"/>
      <c r="AB107" s="73"/>
    </row>
    <row r="108" spans="1:28" ht="15.75" thickBot="1" x14ac:dyDescent="0.3">
      <c r="A108" s="31">
        <v>14</v>
      </c>
      <c r="B108" s="193"/>
      <c r="C108" s="187" t="s">
        <v>97</v>
      </c>
      <c r="D108" s="104" t="s">
        <v>97</v>
      </c>
      <c r="E108" s="208" t="s">
        <v>97</v>
      </c>
      <c r="F108" s="91"/>
      <c r="G108" s="381" t="s">
        <v>97</v>
      </c>
      <c r="H108" s="382"/>
      <c r="I108" s="382"/>
      <c r="J108" s="105" t="s">
        <v>97</v>
      </c>
      <c r="K108" s="106" t="s">
        <v>97</v>
      </c>
      <c r="L108" s="119" t="s">
        <v>97</v>
      </c>
      <c r="M108" s="135" t="s">
        <v>97</v>
      </c>
      <c r="N108" s="123" t="s">
        <v>97</v>
      </c>
      <c r="O108" s="208"/>
      <c r="P108" s="410"/>
      <c r="Q108" s="411"/>
      <c r="R108" s="197" t="s">
        <v>97</v>
      </c>
      <c r="S108" s="113" t="s">
        <v>72</v>
      </c>
      <c r="T108" s="113" t="s">
        <v>134</v>
      </c>
      <c r="U108" s="132"/>
      <c r="V108" s="114" t="s">
        <v>74</v>
      </c>
      <c r="W108" s="105"/>
      <c r="X108" s="117"/>
      <c r="Y108" s="119"/>
      <c r="Z108" s="130"/>
      <c r="AA108" s="138"/>
      <c r="AB108" s="73"/>
    </row>
    <row r="109" spans="1:28" ht="15.75" thickBot="1" x14ac:dyDescent="0.3">
      <c r="A109" s="31">
        <v>15</v>
      </c>
      <c r="B109" s="193"/>
      <c r="C109" s="187" t="s">
        <v>97</v>
      </c>
      <c r="D109" s="104" t="s">
        <v>97</v>
      </c>
      <c r="E109" s="208" t="s">
        <v>97</v>
      </c>
      <c r="F109" s="91"/>
      <c r="G109" s="381" t="s">
        <v>97</v>
      </c>
      <c r="H109" s="382"/>
      <c r="I109" s="382"/>
      <c r="J109" s="105" t="s">
        <v>97</v>
      </c>
      <c r="K109" s="106" t="s">
        <v>97</v>
      </c>
      <c r="L109" s="119" t="s">
        <v>97</v>
      </c>
      <c r="M109" s="135" t="s">
        <v>97</v>
      </c>
      <c r="N109" s="123" t="s">
        <v>97</v>
      </c>
      <c r="O109" s="208"/>
      <c r="P109" s="410"/>
      <c r="Q109" s="411"/>
      <c r="R109" s="197" t="s">
        <v>97</v>
      </c>
      <c r="S109" s="113" t="s">
        <v>72</v>
      </c>
      <c r="T109" s="113" t="s">
        <v>134</v>
      </c>
      <c r="U109" s="132"/>
      <c r="V109" s="114" t="s">
        <v>74</v>
      </c>
      <c r="W109" s="105"/>
      <c r="X109" s="117"/>
      <c r="Y109" s="119"/>
      <c r="Z109" s="130"/>
      <c r="AA109" s="138"/>
      <c r="AB109" s="73"/>
    </row>
    <row r="110" spans="1:28" ht="15.75" thickBot="1" x14ac:dyDescent="0.3">
      <c r="A110" s="31">
        <v>16</v>
      </c>
      <c r="B110" s="193"/>
      <c r="C110" s="187" t="s">
        <v>97</v>
      </c>
      <c r="D110" s="104" t="s">
        <v>97</v>
      </c>
      <c r="E110" s="208" t="s">
        <v>97</v>
      </c>
      <c r="F110" s="91"/>
      <c r="G110" s="381" t="s">
        <v>97</v>
      </c>
      <c r="H110" s="382"/>
      <c r="I110" s="382"/>
      <c r="J110" s="105" t="s">
        <v>97</v>
      </c>
      <c r="K110" s="106" t="s">
        <v>97</v>
      </c>
      <c r="L110" s="119" t="s">
        <v>97</v>
      </c>
      <c r="M110" s="135" t="s">
        <v>97</v>
      </c>
      <c r="N110" s="123" t="s">
        <v>97</v>
      </c>
      <c r="O110" s="208"/>
      <c r="P110" s="410"/>
      <c r="Q110" s="411"/>
      <c r="R110" s="197" t="s">
        <v>97</v>
      </c>
      <c r="S110" s="113" t="s">
        <v>72</v>
      </c>
      <c r="T110" s="113" t="s">
        <v>134</v>
      </c>
      <c r="U110" s="132"/>
      <c r="V110" s="114" t="s">
        <v>74</v>
      </c>
      <c r="W110" s="105"/>
      <c r="X110" s="117"/>
      <c r="Y110" s="119"/>
      <c r="Z110" s="130"/>
      <c r="AA110" s="138"/>
      <c r="AB110" s="73"/>
    </row>
    <row r="111" spans="1:28" ht="15.75" thickBot="1" x14ac:dyDescent="0.3">
      <c r="A111" s="31">
        <v>17</v>
      </c>
      <c r="B111" s="193"/>
      <c r="C111" s="187" t="s">
        <v>97</v>
      </c>
      <c r="D111" s="104" t="s">
        <v>97</v>
      </c>
      <c r="E111" s="208" t="s">
        <v>97</v>
      </c>
      <c r="F111" s="91"/>
      <c r="G111" s="381" t="s">
        <v>97</v>
      </c>
      <c r="H111" s="382"/>
      <c r="I111" s="382"/>
      <c r="J111" s="105" t="s">
        <v>97</v>
      </c>
      <c r="K111" s="106" t="s">
        <v>97</v>
      </c>
      <c r="L111" s="119" t="s">
        <v>97</v>
      </c>
      <c r="M111" s="135" t="s">
        <v>97</v>
      </c>
      <c r="N111" s="123" t="s">
        <v>97</v>
      </c>
      <c r="O111" s="208"/>
      <c r="P111" s="410"/>
      <c r="Q111" s="411"/>
      <c r="R111" s="197" t="s">
        <v>97</v>
      </c>
      <c r="S111" s="113" t="s">
        <v>72</v>
      </c>
      <c r="T111" s="113" t="s">
        <v>134</v>
      </c>
      <c r="U111" s="132"/>
      <c r="V111" s="114" t="s">
        <v>74</v>
      </c>
      <c r="W111" s="105"/>
      <c r="X111" s="117"/>
      <c r="Y111" s="119"/>
      <c r="Z111" s="130"/>
      <c r="AA111" s="138"/>
      <c r="AB111" s="73"/>
    </row>
    <row r="112" spans="1:28" ht="15.75" thickBot="1" x14ac:dyDescent="0.3">
      <c r="A112" s="31">
        <v>18</v>
      </c>
      <c r="B112" s="193"/>
      <c r="C112" s="187" t="s">
        <v>97</v>
      </c>
      <c r="D112" s="104" t="s">
        <v>97</v>
      </c>
      <c r="E112" s="208" t="s">
        <v>97</v>
      </c>
      <c r="F112" s="91"/>
      <c r="G112" s="381" t="s">
        <v>97</v>
      </c>
      <c r="H112" s="382"/>
      <c r="I112" s="382"/>
      <c r="J112" s="105" t="s">
        <v>97</v>
      </c>
      <c r="K112" s="106" t="s">
        <v>97</v>
      </c>
      <c r="L112" s="119" t="s">
        <v>97</v>
      </c>
      <c r="M112" s="135" t="s">
        <v>97</v>
      </c>
      <c r="N112" s="123" t="s">
        <v>97</v>
      </c>
      <c r="O112" s="208"/>
      <c r="P112" s="410"/>
      <c r="Q112" s="411"/>
      <c r="R112" s="197" t="s">
        <v>97</v>
      </c>
      <c r="S112" s="113" t="s">
        <v>72</v>
      </c>
      <c r="T112" s="113" t="s">
        <v>134</v>
      </c>
      <c r="U112" s="132"/>
      <c r="V112" s="114" t="s">
        <v>74</v>
      </c>
      <c r="W112" s="105"/>
      <c r="X112" s="117"/>
      <c r="Y112" s="119"/>
      <c r="Z112" s="130"/>
      <c r="AA112" s="138"/>
      <c r="AB112" s="73"/>
    </row>
    <row r="113" spans="1:28" ht="15.75" thickBot="1" x14ac:dyDescent="0.3">
      <c r="A113" s="31">
        <v>19</v>
      </c>
      <c r="B113" s="193"/>
      <c r="C113" s="187" t="s">
        <v>97</v>
      </c>
      <c r="D113" s="104" t="s">
        <v>97</v>
      </c>
      <c r="E113" s="208" t="s">
        <v>97</v>
      </c>
      <c r="F113" s="91"/>
      <c r="G113" s="381" t="s">
        <v>97</v>
      </c>
      <c r="H113" s="382"/>
      <c r="I113" s="382"/>
      <c r="J113" s="105" t="s">
        <v>97</v>
      </c>
      <c r="K113" s="106" t="s">
        <v>97</v>
      </c>
      <c r="L113" s="119" t="s">
        <v>97</v>
      </c>
      <c r="M113" s="135" t="s">
        <v>97</v>
      </c>
      <c r="N113" s="123" t="s">
        <v>97</v>
      </c>
      <c r="O113" s="208"/>
      <c r="P113" s="410"/>
      <c r="Q113" s="411"/>
      <c r="R113" s="197" t="s">
        <v>97</v>
      </c>
      <c r="S113" s="113" t="s">
        <v>72</v>
      </c>
      <c r="T113" s="113" t="s">
        <v>134</v>
      </c>
      <c r="U113" s="132"/>
      <c r="V113" s="114" t="s">
        <v>74</v>
      </c>
      <c r="W113" s="105"/>
      <c r="X113" s="117"/>
      <c r="Y113" s="119"/>
      <c r="Z113" s="130"/>
      <c r="AA113" s="138"/>
      <c r="AB113" s="73"/>
    </row>
    <row r="114" spans="1:28" ht="15.75" thickBot="1" x14ac:dyDescent="0.3">
      <c r="A114" s="31">
        <v>20</v>
      </c>
      <c r="B114" s="193"/>
      <c r="C114" s="187" t="s">
        <v>97</v>
      </c>
      <c r="D114" s="104" t="s">
        <v>97</v>
      </c>
      <c r="E114" s="208" t="s">
        <v>97</v>
      </c>
      <c r="F114" s="91"/>
      <c r="G114" s="381" t="s">
        <v>97</v>
      </c>
      <c r="H114" s="382"/>
      <c r="I114" s="382"/>
      <c r="J114" s="105" t="s">
        <v>97</v>
      </c>
      <c r="K114" s="106" t="s">
        <v>97</v>
      </c>
      <c r="L114" s="119" t="s">
        <v>97</v>
      </c>
      <c r="M114" s="135" t="s">
        <v>97</v>
      </c>
      <c r="N114" s="123" t="s">
        <v>97</v>
      </c>
      <c r="O114" s="208"/>
      <c r="P114" s="410"/>
      <c r="Q114" s="411"/>
      <c r="R114" s="197" t="s">
        <v>97</v>
      </c>
      <c r="S114" s="113" t="s">
        <v>72</v>
      </c>
      <c r="T114" s="113" t="s">
        <v>134</v>
      </c>
      <c r="U114" s="132"/>
      <c r="V114" s="114" t="s">
        <v>74</v>
      </c>
      <c r="W114" s="105"/>
      <c r="X114" s="117"/>
      <c r="Y114" s="119"/>
      <c r="Z114" s="130"/>
      <c r="AA114" s="138"/>
      <c r="AB114" s="73"/>
    </row>
    <row r="115" spans="1:28" ht="15.75" thickBot="1" x14ac:dyDescent="0.3">
      <c r="A115" s="31">
        <v>21</v>
      </c>
      <c r="B115" s="193"/>
      <c r="C115" s="187" t="s">
        <v>97</v>
      </c>
      <c r="D115" s="104" t="s">
        <v>97</v>
      </c>
      <c r="E115" s="208" t="s">
        <v>97</v>
      </c>
      <c r="F115" s="91"/>
      <c r="G115" s="381" t="s">
        <v>97</v>
      </c>
      <c r="H115" s="382"/>
      <c r="I115" s="382"/>
      <c r="J115" s="105" t="s">
        <v>97</v>
      </c>
      <c r="K115" s="106" t="s">
        <v>97</v>
      </c>
      <c r="L115" s="119" t="s">
        <v>97</v>
      </c>
      <c r="M115" s="135" t="s">
        <v>97</v>
      </c>
      <c r="N115" s="123" t="s">
        <v>97</v>
      </c>
      <c r="O115" s="208"/>
      <c r="P115" s="410"/>
      <c r="Q115" s="411"/>
      <c r="R115" s="197" t="s">
        <v>97</v>
      </c>
      <c r="S115" s="113" t="s">
        <v>72</v>
      </c>
      <c r="T115" s="113" t="s">
        <v>134</v>
      </c>
      <c r="U115" s="132"/>
      <c r="V115" s="114" t="s">
        <v>74</v>
      </c>
      <c r="W115" s="105"/>
      <c r="X115" s="117"/>
      <c r="Y115" s="119"/>
      <c r="Z115" s="130"/>
      <c r="AA115" s="138"/>
      <c r="AB115" s="73"/>
    </row>
    <row r="116" spans="1:28" ht="15.75" thickBot="1" x14ac:dyDescent="0.3">
      <c r="A116" s="31">
        <v>22</v>
      </c>
      <c r="B116" s="193"/>
      <c r="C116" s="187" t="s">
        <v>97</v>
      </c>
      <c r="D116" s="104" t="s">
        <v>97</v>
      </c>
      <c r="E116" s="208" t="s">
        <v>97</v>
      </c>
      <c r="F116" s="91"/>
      <c r="G116" s="381" t="s">
        <v>97</v>
      </c>
      <c r="H116" s="382"/>
      <c r="I116" s="382"/>
      <c r="J116" s="105" t="s">
        <v>97</v>
      </c>
      <c r="K116" s="106" t="s">
        <v>97</v>
      </c>
      <c r="L116" s="119" t="s">
        <v>97</v>
      </c>
      <c r="M116" s="135" t="s">
        <v>97</v>
      </c>
      <c r="N116" s="123" t="s">
        <v>97</v>
      </c>
      <c r="O116" s="208"/>
      <c r="P116" s="410"/>
      <c r="Q116" s="411"/>
      <c r="R116" s="197" t="s">
        <v>97</v>
      </c>
      <c r="S116" s="113" t="s">
        <v>72</v>
      </c>
      <c r="T116" s="113" t="s">
        <v>134</v>
      </c>
      <c r="U116" s="132"/>
      <c r="V116" s="114" t="s">
        <v>74</v>
      </c>
      <c r="W116" s="105"/>
      <c r="X116" s="117"/>
      <c r="Y116" s="119"/>
      <c r="Z116" s="130"/>
      <c r="AA116" s="138"/>
      <c r="AB116" s="73"/>
    </row>
    <row r="117" spans="1:28" ht="15.75" thickBot="1" x14ac:dyDescent="0.3">
      <c r="A117" s="31">
        <v>23</v>
      </c>
      <c r="B117" s="193"/>
      <c r="C117" s="187" t="s">
        <v>97</v>
      </c>
      <c r="D117" s="104" t="s">
        <v>97</v>
      </c>
      <c r="E117" s="208" t="s">
        <v>97</v>
      </c>
      <c r="F117" s="91"/>
      <c r="G117" s="381" t="s">
        <v>97</v>
      </c>
      <c r="H117" s="382"/>
      <c r="I117" s="382"/>
      <c r="J117" s="105" t="s">
        <v>97</v>
      </c>
      <c r="K117" s="106" t="s">
        <v>97</v>
      </c>
      <c r="L117" s="119" t="s">
        <v>97</v>
      </c>
      <c r="M117" s="135" t="s">
        <v>97</v>
      </c>
      <c r="N117" s="123" t="s">
        <v>97</v>
      </c>
      <c r="O117" s="208"/>
      <c r="P117" s="410"/>
      <c r="Q117" s="411"/>
      <c r="R117" s="197" t="s">
        <v>97</v>
      </c>
      <c r="S117" s="113" t="s">
        <v>72</v>
      </c>
      <c r="T117" s="113" t="s">
        <v>134</v>
      </c>
      <c r="U117" s="132"/>
      <c r="V117" s="114" t="s">
        <v>74</v>
      </c>
      <c r="W117" s="105"/>
      <c r="X117" s="117"/>
      <c r="Y117" s="119"/>
      <c r="Z117" s="130"/>
      <c r="AA117" s="138"/>
      <c r="AB117" s="73"/>
    </row>
    <row r="118" spans="1:28" ht="15.75" thickBot="1" x14ac:dyDescent="0.3">
      <c r="A118" s="143">
        <v>24</v>
      </c>
      <c r="B118" s="194"/>
      <c r="C118" s="188" t="s">
        <v>97</v>
      </c>
      <c r="D118" s="144" t="s">
        <v>97</v>
      </c>
      <c r="E118" s="250" t="s">
        <v>97</v>
      </c>
      <c r="F118" s="145"/>
      <c r="G118" s="402" t="s">
        <v>97</v>
      </c>
      <c r="H118" s="403"/>
      <c r="I118" s="403"/>
      <c r="J118" s="115" t="s">
        <v>97</v>
      </c>
      <c r="K118" s="146" t="s">
        <v>97</v>
      </c>
      <c r="L118" s="126" t="s">
        <v>97</v>
      </c>
      <c r="M118" s="147" t="s">
        <v>97</v>
      </c>
      <c r="N118" s="148" t="s">
        <v>97</v>
      </c>
      <c r="O118" s="208"/>
      <c r="P118" s="410"/>
      <c r="Q118" s="411"/>
      <c r="R118" s="198" t="s">
        <v>97</v>
      </c>
      <c r="S118" s="113" t="s">
        <v>72</v>
      </c>
      <c r="T118" s="113" t="s">
        <v>134</v>
      </c>
      <c r="U118" s="149"/>
      <c r="V118" s="114" t="s">
        <v>74</v>
      </c>
      <c r="W118" s="115"/>
      <c r="X118" s="116"/>
      <c r="Y118" s="126"/>
      <c r="Z118" s="129"/>
      <c r="AA118" s="141"/>
      <c r="AB118" s="73"/>
    </row>
    <row r="119" spans="1:28" ht="15.75" thickBot="1" x14ac:dyDescent="0.3">
      <c r="A119" s="31">
        <v>25</v>
      </c>
      <c r="B119" s="193"/>
      <c r="C119" s="187" t="s">
        <v>97</v>
      </c>
      <c r="D119" s="104" t="s">
        <v>97</v>
      </c>
      <c r="E119" s="208" t="s">
        <v>97</v>
      </c>
      <c r="F119" s="91"/>
      <c r="G119" s="381" t="s">
        <v>97</v>
      </c>
      <c r="H119" s="382"/>
      <c r="I119" s="382"/>
      <c r="J119" s="105" t="s">
        <v>97</v>
      </c>
      <c r="K119" s="106" t="s">
        <v>97</v>
      </c>
      <c r="L119" s="119" t="s">
        <v>97</v>
      </c>
      <c r="M119" s="135" t="s">
        <v>97</v>
      </c>
      <c r="N119" s="123" t="s">
        <v>97</v>
      </c>
      <c r="O119" s="208"/>
      <c r="P119" s="410"/>
      <c r="Q119" s="411"/>
      <c r="R119" s="199" t="s">
        <v>97</v>
      </c>
      <c r="S119" s="113" t="s">
        <v>72</v>
      </c>
      <c r="T119" s="113" t="s">
        <v>134</v>
      </c>
      <c r="U119" s="132"/>
      <c r="V119" s="114" t="s">
        <v>74</v>
      </c>
      <c r="W119" s="105"/>
      <c r="X119" s="117"/>
      <c r="Y119" s="119"/>
      <c r="Z119" s="130"/>
      <c r="AA119" s="138"/>
      <c r="AB119" s="73"/>
    </row>
    <row r="120" spans="1:28" ht="15.75" thickBot="1" x14ac:dyDescent="0.3">
      <c r="A120" s="31">
        <v>26</v>
      </c>
      <c r="B120" s="193"/>
      <c r="C120" s="187" t="s">
        <v>97</v>
      </c>
      <c r="D120" s="104" t="s">
        <v>97</v>
      </c>
      <c r="E120" s="208" t="s">
        <v>97</v>
      </c>
      <c r="F120" s="91"/>
      <c r="G120" s="381" t="s">
        <v>97</v>
      </c>
      <c r="H120" s="382"/>
      <c r="I120" s="382"/>
      <c r="J120" s="105" t="s">
        <v>97</v>
      </c>
      <c r="K120" s="106" t="s">
        <v>97</v>
      </c>
      <c r="L120" s="119" t="s">
        <v>97</v>
      </c>
      <c r="M120" s="135" t="s">
        <v>97</v>
      </c>
      <c r="N120" s="123" t="s">
        <v>97</v>
      </c>
      <c r="O120" s="208"/>
      <c r="P120" s="410"/>
      <c r="Q120" s="411"/>
      <c r="R120" s="199" t="s">
        <v>97</v>
      </c>
      <c r="S120" s="113" t="s">
        <v>72</v>
      </c>
      <c r="T120" s="113" t="s">
        <v>134</v>
      </c>
      <c r="U120" s="132"/>
      <c r="V120" s="114" t="s">
        <v>74</v>
      </c>
      <c r="W120" s="105"/>
      <c r="X120" s="117"/>
      <c r="Y120" s="119"/>
      <c r="Z120" s="130"/>
      <c r="AA120" s="138"/>
      <c r="AB120" s="73"/>
    </row>
    <row r="121" spans="1:28" ht="15.75" thickBot="1" x14ac:dyDescent="0.3">
      <c r="A121" s="150">
        <v>27</v>
      </c>
      <c r="B121" s="195"/>
      <c r="C121" s="189" t="s">
        <v>97</v>
      </c>
      <c r="D121" s="151" t="s">
        <v>97</v>
      </c>
      <c r="E121" s="251" t="s">
        <v>97</v>
      </c>
      <c r="F121" s="152"/>
      <c r="G121" s="404" t="s">
        <v>97</v>
      </c>
      <c r="H121" s="405"/>
      <c r="I121" s="405"/>
      <c r="J121" s="153" t="s">
        <v>97</v>
      </c>
      <c r="K121" s="154" t="s">
        <v>97</v>
      </c>
      <c r="L121" s="155" t="s">
        <v>97</v>
      </c>
      <c r="M121" s="156" t="s">
        <v>97</v>
      </c>
      <c r="N121" s="157" t="s">
        <v>97</v>
      </c>
      <c r="O121" s="208"/>
      <c r="P121" s="410"/>
      <c r="Q121" s="411"/>
      <c r="R121" s="200" t="s">
        <v>97</v>
      </c>
      <c r="S121" s="113" t="s">
        <v>72</v>
      </c>
      <c r="T121" s="113" t="s">
        <v>134</v>
      </c>
      <c r="U121" s="158"/>
      <c r="V121" s="114" t="s">
        <v>74</v>
      </c>
      <c r="W121" s="153"/>
      <c r="X121" s="159"/>
      <c r="Y121" s="155"/>
      <c r="Z121" s="160"/>
      <c r="AA121" s="161"/>
      <c r="AB121" s="73"/>
    </row>
    <row r="122" spans="1:28" ht="15.75" thickBot="1" x14ac:dyDescent="0.3">
      <c r="A122" s="31">
        <v>28</v>
      </c>
      <c r="B122" s="193"/>
      <c r="C122" s="187" t="s">
        <v>97</v>
      </c>
      <c r="D122" s="104" t="s">
        <v>97</v>
      </c>
      <c r="E122" s="208" t="s">
        <v>97</v>
      </c>
      <c r="F122" s="91"/>
      <c r="G122" s="381" t="s">
        <v>97</v>
      </c>
      <c r="H122" s="382"/>
      <c r="I122" s="382"/>
      <c r="J122" s="105" t="s">
        <v>97</v>
      </c>
      <c r="K122" s="106" t="s">
        <v>97</v>
      </c>
      <c r="L122" s="119" t="s">
        <v>97</v>
      </c>
      <c r="M122" s="135" t="s">
        <v>97</v>
      </c>
      <c r="N122" s="123" t="s">
        <v>97</v>
      </c>
      <c r="O122" s="208"/>
      <c r="P122" s="410"/>
      <c r="Q122" s="411"/>
      <c r="R122" s="199" t="s">
        <v>97</v>
      </c>
      <c r="S122" s="113" t="s">
        <v>72</v>
      </c>
      <c r="T122" s="113" t="s">
        <v>134</v>
      </c>
      <c r="U122" s="132"/>
      <c r="V122" s="114" t="s">
        <v>74</v>
      </c>
      <c r="W122" s="105"/>
      <c r="X122" s="117"/>
      <c r="Y122" s="119"/>
      <c r="Z122" s="130"/>
      <c r="AA122" s="138"/>
      <c r="AB122" s="73"/>
    </row>
    <row r="123" spans="1:28" ht="15.75" thickBot="1" x14ac:dyDescent="0.3">
      <c r="A123" s="31">
        <v>29</v>
      </c>
      <c r="B123" s="193"/>
      <c r="C123" s="187" t="s">
        <v>97</v>
      </c>
      <c r="D123" s="104" t="s">
        <v>97</v>
      </c>
      <c r="E123" s="208" t="s">
        <v>97</v>
      </c>
      <c r="F123" s="91"/>
      <c r="G123" s="381" t="s">
        <v>97</v>
      </c>
      <c r="H123" s="382"/>
      <c r="I123" s="383"/>
      <c r="J123" s="105" t="s">
        <v>97</v>
      </c>
      <c r="K123" s="106" t="s">
        <v>97</v>
      </c>
      <c r="L123" s="119" t="s">
        <v>97</v>
      </c>
      <c r="M123" s="135" t="s">
        <v>97</v>
      </c>
      <c r="N123" s="123" t="s">
        <v>97</v>
      </c>
      <c r="O123" s="208"/>
      <c r="P123" s="410"/>
      <c r="Q123" s="411"/>
      <c r="R123" s="199" t="s">
        <v>97</v>
      </c>
      <c r="S123" s="113" t="s">
        <v>72</v>
      </c>
      <c r="T123" s="113" t="s">
        <v>134</v>
      </c>
      <c r="U123" s="132"/>
      <c r="V123" s="114" t="s">
        <v>74</v>
      </c>
      <c r="W123" s="105"/>
      <c r="X123" s="117"/>
      <c r="Y123" s="119"/>
      <c r="Z123" s="130"/>
      <c r="AA123" s="138"/>
      <c r="AB123" s="73"/>
    </row>
    <row r="124" spans="1:28" ht="15.75" thickBot="1" x14ac:dyDescent="0.3">
      <c r="A124" s="31">
        <v>30</v>
      </c>
      <c r="B124" s="193"/>
      <c r="C124" s="187" t="s">
        <v>97</v>
      </c>
      <c r="D124" s="104" t="s">
        <v>97</v>
      </c>
      <c r="E124" s="208" t="s">
        <v>97</v>
      </c>
      <c r="F124" s="91"/>
      <c r="G124" s="381" t="s">
        <v>97</v>
      </c>
      <c r="H124" s="382"/>
      <c r="I124" s="383"/>
      <c r="J124" s="105" t="s">
        <v>97</v>
      </c>
      <c r="K124" s="106" t="s">
        <v>97</v>
      </c>
      <c r="L124" s="119" t="s">
        <v>97</v>
      </c>
      <c r="M124" s="135" t="s">
        <v>97</v>
      </c>
      <c r="N124" s="123" t="s">
        <v>97</v>
      </c>
      <c r="O124" s="208"/>
      <c r="P124" s="410"/>
      <c r="Q124" s="411"/>
      <c r="R124" s="199" t="s">
        <v>97</v>
      </c>
      <c r="S124" s="113" t="s">
        <v>72</v>
      </c>
      <c r="T124" s="113" t="s">
        <v>134</v>
      </c>
      <c r="U124" s="132"/>
      <c r="V124" s="114" t="s">
        <v>74</v>
      </c>
      <c r="W124" s="105"/>
      <c r="X124" s="117"/>
      <c r="Y124" s="119"/>
      <c r="Z124" s="130"/>
      <c r="AA124" s="138"/>
      <c r="AB124" s="73"/>
    </row>
    <row r="125" spans="1:28" ht="15.75" thickBot="1" x14ac:dyDescent="0.3">
      <c r="A125" s="31">
        <v>31</v>
      </c>
      <c r="B125" s="193"/>
      <c r="C125" s="187" t="s">
        <v>97</v>
      </c>
      <c r="D125" s="104" t="s">
        <v>97</v>
      </c>
      <c r="E125" s="208" t="s">
        <v>97</v>
      </c>
      <c r="F125" s="91"/>
      <c r="G125" s="381" t="s">
        <v>97</v>
      </c>
      <c r="H125" s="382"/>
      <c r="I125" s="383"/>
      <c r="J125" s="105" t="s">
        <v>97</v>
      </c>
      <c r="K125" s="106" t="s">
        <v>97</v>
      </c>
      <c r="L125" s="119" t="s">
        <v>97</v>
      </c>
      <c r="M125" s="135" t="s">
        <v>97</v>
      </c>
      <c r="N125" s="123" t="s">
        <v>97</v>
      </c>
      <c r="O125" s="208"/>
      <c r="P125" s="410"/>
      <c r="Q125" s="411"/>
      <c r="R125" s="199" t="s">
        <v>97</v>
      </c>
      <c r="S125" s="113" t="s">
        <v>72</v>
      </c>
      <c r="T125" s="113" t="s">
        <v>134</v>
      </c>
      <c r="U125" s="132"/>
      <c r="V125" s="114" t="s">
        <v>74</v>
      </c>
      <c r="W125" s="105"/>
      <c r="X125" s="117"/>
      <c r="Y125" s="119"/>
      <c r="Z125" s="130"/>
      <c r="AA125" s="138"/>
      <c r="AB125" s="73"/>
    </row>
    <row r="126" spans="1:28" ht="15.75" thickBot="1" x14ac:dyDescent="0.3">
      <c r="A126" s="31">
        <v>32</v>
      </c>
      <c r="B126" s="193"/>
      <c r="C126" s="187" t="s">
        <v>97</v>
      </c>
      <c r="D126" s="104" t="s">
        <v>97</v>
      </c>
      <c r="E126" s="208" t="s">
        <v>97</v>
      </c>
      <c r="F126" s="91"/>
      <c r="G126" s="381" t="s">
        <v>97</v>
      </c>
      <c r="H126" s="382"/>
      <c r="I126" s="383"/>
      <c r="J126" s="105" t="s">
        <v>97</v>
      </c>
      <c r="K126" s="106" t="s">
        <v>97</v>
      </c>
      <c r="L126" s="119" t="s">
        <v>97</v>
      </c>
      <c r="M126" s="135" t="s">
        <v>97</v>
      </c>
      <c r="N126" s="123" t="s">
        <v>97</v>
      </c>
      <c r="O126" s="208"/>
      <c r="P126" s="410"/>
      <c r="Q126" s="411"/>
      <c r="R126" s="199" t="s">
        <v>97</v>
      </c>
      <c r="S126" s="113" t="s">
        <v>72</v>
      </c>
      <c r="T126" s="113" t="s">
        <v>134</v>
      </c>
      <c r="U126" s="132"/>
      <c r="V126" s="114" t="s">
        <v>74</v>
      </c>
      <c r="W126" s="105"/>
      <c r="X126" s="117"/>
      <c r="Y126" s="119"/>
      <c r="Z126" s="130"/>
      <c r="AA126" s="138"/>
      <c r="AB126" s="73"/>
    </row>
    <row r="127" spans="1:28" ht="15.75" thickBot="1" x14ac:dyDescent="0.3">
      <c r="A127" s="31">
        <v>33</v>
      </c>
      <c r="B127" s="193"/>
      <c r="C127" s="187" t="s">
        <v>97</v>
      </c>
      <c r="D127" s="104" t="s">
        <v>97</v>
      </c>
      <c r="E127" s="208" t="s">
        <v>97</v>
      </c>
      <c r="F127" s="91"/>
      <c r="G127" s="381" t="s">
        <v>97</v>
      </c>
      <c r="H127" s="382"/>
      <c r="I127" s="383"/>
      <c r="J127" s="105" t="s">
        <v>97</v>
      </c>
      <c r="K127" s="106" t="s">
        <v>97</v>
      </c>
      <c r="L127" s="119" t="s">
        <v>97</v>
      </c>
      <c r="M127" s="135" t="s">
        <v>97</v>
      </c>
      <c r="N127" s="123" t="s">
        <v>97</v>
      </c>
      <c r="O127" s="208"/>
      <c r="P127" s="410"/>
      <c r="Q127" s="411"/>
      <c r="R127" s="199" t="s">
        <v>97</v>
      </c>
      <c r="S127" s="113" t="s">
        <v>72</v>
      </c>
      <c r="T127" s="113" t="s">
        <v>134</v>
      </c>
      <c r="U127" s="132"/>
      <c r="V127" s="114" t="s">
        <v>74</v>
      </c>
      <c r="W127" s="105"/>
      <c r="X127" s="117"/>
      <c r="Y127" s="119"/>
      <c r="Z127" s="130"/>
      <c r="AA127" s="138"/>
      <c r="AB127" s="73"/>
    </row>
    <row r="128" spans="1:28" ht="15.75" thickBot="1" x14ac:dyDescent="0.3">
      <c r="A128" s="31">
        <v>34</v>
      </c>
      <c r="B128" s="193"/>
      <c r="C128" s="187" t="s">
        <v>97</v>
      </c>
      <c r="D128" s="104" t="s">
        <v>97</v>
      </c>
      <c r="E128" s="208" t="s">
        <v>97</v>
      </c>
      <c r="F128" s="91"/>
      <c r="G128" s="381" t="s">
        <v>97</v>
      </c>
      <c r="H128" s="382"/>
      <c r="I128" s="383"/>
      <c r="J128" s="105" t="s">
        <v>97</v>
      </c>
      <c r="K128" s="106" t="s">
        <v>97</v>
      </c>
      <c r="L128" s="119" t="s">
        <v>97</v>
      </c>
      <c r="M128" s="135" t="s">
        <v>97</v>
      </c>
      <c r="N128" s="123" t="s">
        <v>97</v>
      </c>
      <c r="O128" s="208"/>
      <c r="P128" s="410"/>
      <c r="Q128" s="411"/>
      <c r="R128" s="199" t="s">
        <v>97</v>
      </c>
      <c r="S128" s="113" t="s">
        <v>72</v>
      </c>
      <c r="T128" s="113" t="s">
        <v>134</v>
      </c>
      <c r="U128" s="132"/>
      <c r="V128" s="114" t="s">
        <v>74</v>
      </c>
      <c r="W128" s="105"/>
      <c r="X128" s="117"/>
      <c r="Y128" s="119"/>
      <c r="Z128" s="130"/>
      <c r="AA128" s="138"/>
      <c r="AB128" s="73"/>
    </row>
    <row r="129" spans="1:28" ht="15.75" thickBot="1" x14ac:dyDescent="0.3">
      <c r="A129" s="31">
        <v>35</v>
      </c>
      <c r="B129" s="193"/>
      <c r="C129" s="187" t="s">
        <v>97</v>
      </c>
      <c r="D129" s="104" t="s">
        <v>97</v>
      </c>
      <c r="E129" s="208" t="s">
        <v>97</v>
      </c>
      <c r="F129" s="91"/>
      <c r="G129" s="381" t="s">
        <v>97</v>
      </c>
      <c r="H129" s="382"/>
      <c r="I129" s="383"/>
      <c r="J129" s="105" t="s">
        <v>97</v>
      </c>
      <c r="K129" s="106" t="s">
        <v>97</v>
      </c>
      <c r="L129" s="119" t="s">
        <v>97</v>
      </c>
      <c r="M129" s="135" t="s">
        <v>97</v>
      </c>
      <c r="N129" s="123" t="s">
        <v>97</v>
      </c>
      <c r="O129" s="208"/>
      <c r="P129" s="410"/>
      <c r="Q129" s="411"/>
      <c r="R129" s="199" t="s">
        <v>97</v>
      </c>
      <c r="S129" s="113" t="s">
        <v>72</v>
      </c>
      <c r="T129" s="113" t="s">
        <v>134</v>
      </c>
      <c r="U129" s="132"/>
      <c r="V129" s="114" t="s">
        <v>74</v>
      </c>
      <c r="W129" s="105"/>
      <c r="X129" s="117"/>
      <c r="Y129" s="119"/>
      <c r="Z129" s="130"/>
      <c r="AA129" s="138"/>
      <c r="AB129" s="73"/>
    </row>
    <row r="130" spans="1:28" ht="15.75" thickBot="1" x14ac:dyDescent="0.3">
      <c r="A130" s="31">
        <v>36</v>
      </c>
      <c r="B130" s="193"/>
      <c r="C130" s="187" t="s">
        <v>97</v>
      </c>
      <c r="D130" s="104" t="s">
        <v>97</v>
      </c>
      <c r="E130" s="208" t="s">
        <v>97</v>
      </c>
      <c r="F130" s="91"/>
      <c r="G130" s="381" t="s">
        <v>97</v>
      </c>
      <c r="H130" s="382"/>
      <c r="I130" s="383"/>
      <c r="J130" s="105" t="s">
        <v>97</v>
      </c>
      <c r="K130" s="106" t="s">
        <v>97</v>
      </c>
      <c r="L130" s="119" t="s">
        <v>97</v>
      </c>
      <c r="M130" s="135" t="s">
        <v>97</v>
      </c>
      <c r="N130" s="123" t="s">
        <v>97</v>
      </c>
      <c r="O130" s="208"/>
      <c r="P130" s="410"/>
      <c r="Q130" s="411"/>
      <c r="R130" s="199" t="s">
        <v>97</v>
      </c>
      <c r="S130" s="113" t="s">
        <v>72</v>
      </c>
      <c r="T130" s="113" t="s">
        <v>134</v>
      </c>
      <c r="U130" s="132"/>
      <c r="V130" s="114" t="s">
        <v>74</v>
      </c>
      <c r="W130" s="105"/>
      <c r="X130" s="117"/>
      <c r="Y130" s="119"/>
      <c r="Z130" s="130"/>
      <c r="AA130" s="138"/>
      <c r="AB130" s="73"/>
    </row>
    <row r="131" spans="1:28" ht="15.75" thickBot="1" x14ac:dyDescent="0.3">
      <c r="A131" s="31">
        <v>37</v>
      </c>
      <c r="B131" s="193"/>
      <c r="C131" s="187" t="s">
        <v>97</v>
      </c>
      <c r="D131" s="104" t="s">
        <v>97</v>
      </c>
      <c r="E131" s="208" t="s">
        <v>97</v>
      </c>
      <c r="F131" s="91"/>
      <c r="G131" s="381" t="s">
        <v>97</v>
      </c>
      <c r="H131" s="382"/>
      <c r="I131" s="383"/>
      <c r="J131" s="105" t="s">
        <v>97</v>
      </c>
      <c r="K131" s="106" t="s">
        <v>97</v>
      </c>
      <c r="L131" s="119" t="s">
        <v>97</v>
      </c>
      <c r="M131" s="135" t="s">
        <v>97</v>
      </c>
      <c r="N131" s="123" t="s">
        <v>97</v>
      </c>
      <c r="O131" s="208"/>
      <c r="P131" s="410"/>
      <c r="Q131" s="411"/>
      <c r="R131" s="199" t="s">
        <v>97</v>
      </c>
      <c r="S131" s="113" t="s">
        <v>72</v>
      </c>
      <c r="T131" s="113" t="s">
        <v>134</v>
      </c>
      <c r="U131" s="132"/>
      <c r="V131" s="114" t="s">
        <v>74</v>
      </c>
      <c r="W131" s="105"/>
      <c r="X131" s="117"/>
      <c r="Y131" s="119"/>
      <c r="Z131" s="130"/>
      <c r="AA131" s="138"/>
      <c r="AB131" s="73"/>
    </row>
    <row r="132" spans="1:28" ht="15.75" thickBot="1" x14ac:dyDescent="0.3">
      <c r="A132" s="31">
        <v>38</v>
      </c>
      <c r="B132" s="193"/>
      <c r="C132" s="187" t="s">
        <v>97</v>
      </c>
      <c r="D132" s="104" t="s">
        <v>97</v>
      </c>
      <c r="E132" s="208" t="s">
        <v>97</v>
      </c>
      <c r="F132" s="91"/>
      <c r="G132" s="381" t="s">
        <v>97</v>
      </c>
      <c r="H132" s="382"/>
      <c r="I132" s="383"/>
      <c r="J132" s="105" t="s">
        <v>97</v>
      </c>
      <c r="K132" s="106" t="s">
        <v>97</v>
      </c>
      <c r="L132" s="119" t="s">
        <v>97</v>
      </c>
      <c r="M132" s="135" t="s">
        <v>97</v>
      </c>
      <c r="N132" s="123" t="s">
        <v>97</v>
      </c>
      <c r="O132" s="208"/>
      <c r="P132" s="410"/>
      <c r="Q132" s="411"/>
      <c r="R132" s="199" t="s">
        <v>97</v>
      </c>
      <c r="S132" s="113" t="s">
        <v>72</v>
      </c>
      <c r="T132" s="113" t="s">
        <v>134</v>
      </c>
      <c r="U132" s="132"/>
      <c r="V132" s="114" t="s">
        <v>74</v>
      </c>
      <c r="W132" s="105"/>
      <c r="X132" s="117"/>
      <c r="Y132" s="119"/>
      <c r="Z132" s="130"/>
      <c r="AA132" s="138"/>
      <c r="AB132" s="73"/>
    </row>
    <row r="133" spans="1:28" ht="15.75" thickBot="1" x14ac:dyDescent="0.3">
      <c r="A133" s="31">
        <v>39</v>
      </c>
      <c r="B133" s="193"/>
      <c r="C133" s="187" t="s">
        <v>97</v>
      </c>
      <c r="D133" s="104" t="s">
        <v>97</v>
      </c>
      <c r="E133" s="208" t="s">
        <v>97</v>
      </c>
      <c r="F133" s="91"/>
      <c r="G133" s="381" t="s">
        <v>97</v>
      </c>
      <c r="H133" s="382"/>
      <c r="I133" s="383"/>
      <c r="J133" s="105" t="s">
        <v>97</v>
      </c>
      <c r="K133" s="106" t="s">
        <v>97</v>
      </c>
      <c r="L133" s="119" t="s">
        <v>97</v>
      </c>
      <c r="M133" s="135" t="s">
        <v>97</v>
      </c>
      <c r="N133" s="123" t="s">
        <v>97</v>
      </c>
      <c r="O133" s="208"/>
      <c r="P133" s="410"/>
      <c r="Q133" s="411"/>
      <c r="R133" s="199" t="s">
        <v>97</v>
      </c>
      <c r="S133" s="113" t="s">
        <v>72</v>
      </c>
      <c r="T133" s="113" t="s">
        <v>134</v>
      </c>
      <c r="U133" s="132"/>
      <c r="V133" s="114" t="s">
        <v>74</v>
      </c>
      <c r="W133" s="105"/>
      <c r="X133" s="117"/>
      <c r="Y133" s="119"/>
      <c r="Z133" s="130"/>
      <c r="AA133" s="138"/>
      <c r="AB133" s="73"/>
    </row>
    <row r="134" spans="1:28" ht="15.75" thickBot="1" x14ac:dyDescent="0.3">
      <c r="A134" s="31">
        <v>40</v>
      </c>
      <c r="B134" s="193"/>
      <c r="C134" s="187" t="s">
        <v>97</v>
      </c>
      <c r="D134" s="104" t="s">
        <v>97</v>
      </c>
      <c r="E134" s="208" t="s">
        <v>97</v>
      </c>
      <c r="F134" s="91"/>
      <c r="G134" s="381" t="s">
        <v>97</v>
      </c>
      <c r="H134" s="382"/>
      <c r="I134" s="383"/>
      <c r="J134" s="105" t="s">
        <v>97</v>
      </c>
      <c r="K134" s="106" t="s">
        <v>97</v>
      </c>
      <c r="L134" s="119" t="s">
        <v>97</v>
      </c>
      <c r="M134" s="135" t="s">
        <v>97</v>
      </c>
      <c r="N134" s="123" t="s">
        <v>97</v>
      </c>
      <c r="O134" s="208"/>
      <c r="P134" s="410"/>
      <c r="Q134" s="411"/>
      <c r="R134" s="199" t="s">
        <v>97</v>
      </c>
      <c r="S134" s="113" t="s">
        <v>72</v>
      </c>
      <c r="T134" s="113" t="s">
        <v>134</v>
      </c>
      <c r="U134" s="132"/>
      <c r="V134" s="114" t="s">
        <v>74</v>
      </c>
      <c r="W134" s="105"/>
      <c r="X134" s="117"/>
      <c r="Y134" s="119"/>
      <c r="Z134" s="130"/>
      <c r="AA134" s="138"/>
      <c r="AB134" s="73"/>
    </row>
    <row r="135" spans="1:28" ht="15.75" thickBot="1" x14ac:dyDescent="0.3">
      <c r="A135" s="31">
        <v>41</v>
      </c>
      <c r="B135" s="193"/>
      <c r="C135" s="187" t="s">
        <v>97</v>
      </c>
      <c r="D135" s="104" t="s">
        <v>97</v>
      </c>
      <c r="E135" s="208" t="s">
        <v>97</v>
      </c>
      <c r="F135" s="91"/>
      <c r="G135" s="381" t="s">
        <v>97</v>
      </c>
      <c r="H135" s="382"/>
      <c r="I135" s="383"/>
      <c r="J135" s="105" t="s">
        <v>97</v>
      </c>
      <c r="K135" s="106" t="s">
        <v>97</v>
      </c>
      <c r="L135" s="119" t="s">
        <v>97</v>
      </c>
      <c r="M135" s="135" t="s">
        <v>97</v>
      </c>
      <c r="N135" s="123" t="s">
        <v>97</v>
      </c>
      <c r="O135" s="208"/>
      <c r="P135" s="410"/>
      <c r="Q135" s="411"/>
      <c r="R135" s="199" t="s">
        <v>97</v>
      </c>
      <c r="S135" s="113" t="s">
        <v>72</v>
      </c>
      <c r="T135" s="113" t="s">
        <v>134</v>
      </c>
      <c r="U135" s="132"/>
      <c r="V135" s="114" t="s">
        <v>74</v>
      </c>
      <c r="W135" s="105"/>
      <c r="X135" s="117"/>
      <c r="Y135" s="119"/>
      <c r="Z135" s="130"/>
      <c r="AA135" s="138"/>
      <c r="AB135" s="73"/>
    </row>
    <row r="136" spans="1:28" ht="15.75" thickBot="1" x14ac:dyDescent="0.3">
      <c r="A136" s="31">
        <v>42</v>
      </c>
      <c r="B136" s="193"/>
      <c r="C136" s="187" t="s">
        <v>97</v>
      </c>
      <c r="D136" s="104" t="s">
        <v>97</v>
      </c>
      <c r="E136" s="208" t="s">
        <v>97</v>
      </c>
      <c r="F136" s="91"/>
      <c r="G136" s="381" t="s">
        <v>97</v>
      </c>
      <c r="H136" s="382"/>
      <c r="I136" s="383"/>
      <c r="J136" s="105" t="s">
        <v>97</v>
      </c>
      <c r="K136" s="106" t="s">
        <v>97</v>
      </c>
      <c r="L136" s="119" t="s">
        <v>97</v>
      </c>
      <c r="M136" s="135" t="s">
        <v>97</v>
      </c>
      <c r="N136" s="123" t="s">
        <v>97</v>
      </c>
      <c r="O136" s="208"/>
      <c r="P136" s="410"/>
      <c r="Q136" s="411"/>
      <c r="R136" s="199" t="s">
        <v>97</v>
      </c>
      <c r="S136" s="113" t="s">
        <v>72</v>
      </c>
      <c r="T136" s="113" t="s">
        <v>134</v>
      </c>
      <c r="U136" s="132"/>
      <c r="V136" s="114" t="s">
        <v>74</v>
      </c>
      <c r="W136" s="105"/>
      <c r="X136" s="117"/>
      <c r="Y136" s="119"/>
      <c r="Z136" s="130"/>
      <c r="AA136" s="138"/>
      <c r="AB136" s="73"/>
    </row>
    <row r="137" spans="1:28" ht="15.75" thickBot="1" x14ac:dyDescent="0.3">
      <c r="A137" s="31">
        <v>43</v>
      </c>
      <c r="B137" s="193"/>
      <c r="C137" s="187" t="s">
        <v>97</v>
      </c>
      <c r="D137" s="104" t="s">
        <v>97</v>
      </c>
      <c r="E137" s="208" t="s">
        <v>97</v>
      </c>
      <c r="F137" s="91"/>
      <c r="G137" s="381" t="s">
        <v>97</v>
      </c>
      <c r="H137" s="382"/>
      <c r="I137" s="383"/>
      <c r="J137" s="105" t="s">
        <v>97</v>
      </c>
      <c r="K137" s="106" t="s">
        <v>97</v>
      </c>
      <c r="L137" s="119" t="s">
        <v>97</v>
      </c>
      <c r="M137" s="135" t="s">
        <v>97</v>
      </c>
      <c r="N137" s="123" t="s">
        <v>97</v>
      </c>
      <c r="O137" s="208"/>
      <c r="P137" s="410"/>
      <c r="Q137" s="411"/>
      <c r="R137" s="199" t="s">
        <v>97</v>
      </c>
      <c r="S137" s="113" t="s">
        <v>72</v>
      </c>
      <c r="T137" s="113" t="s">
        <v>134</v>
      </c>
      <c r="U137" s="132"/>
      <c r="V137" s="114" t="s">
        <v>74</v>
      </c>
      <c r="W137" s="105"/>
      <c r="X137" s="117"/>
      <c r="Y137" s="119"/>
      <c r="Z137" s="130"/>
      <c r="AA137" s="138"/>
      <c r="AB137" s="73"/>
    </row>
    <row r="138" spans="1:28" ht="15.75" thickBot="1" x14ac:dyDescent="0.3">
      <c r="A138" s="31">
        <v>44</v>
      </c>
      <c r="B138" s="193"/>
      <c r="C138" s="187" t="s">
        <v>97</v>
      </c>
      <c r="D138" s="104" t="s">
        <v>97</v>
      </c>
      <c r="E138" s="208" t="s">
        <v>97</v>
      </c>
      <c r="F138" s="91"/>
      <c r="G138" s="381" t="s">
        <v>97</v>
      </c>
      <c r="H138" s="382"/>
      <c r="I138" s="383"/>
      <c r="J138" s="105" t="s">
        <v>97</v>
      </c>
      <c r="K138" s="106" t="s">
        <v>97</v>
      </c>
      <c r="L138" s="119" t="s">
        <v>97</v>
      </c>
      <c r="M138" s="135" t="s">
        <v>97</v>
      </c>
      <c r="N138" s="123" t="s">
        <v>97</v>
      </c>
      <c r="O138" s="208"/>
      <c r="P138" s="410"/>
      <c r="Q138" s="411"/>
      <c r="R138" s="199" t="s">
        <v>97</v>
      </c>
      <c r="S138" s="113" t="s">
        <v>72</v>
      </c>
      <c r="T138" s="113" t="s">
        <v>134</v>
      </c>
      <c r="U138" s="132"/>
      <c r="V138" s="114" t="s">
        <v>74</v>
      </c>
      <c r="W138" s="105"/>
      <c r="X138" s="117"/>
      <c r="Y138" s="119"/>
      <c r="Z138" s="130"/>
      <c r="AA138" s="138"/>
      <c r="AB138" s="73"/>
    </row>
    <row r="139" spans="1:28" ht="15.75" thickBot="1" x14ac:dyDescent="0.3">
      <c r="A139" s="31">
        <v>45</v>
      </c>
      <c r="B139" s="193"/>
      <c r="C139" s="187" t="s">
        <v>97</v>
      </c>
      <c r="D139" s="104" t="s">
        <v>97</v>
      </c>
      <c r="E139" s="208" t="s">
        <v>97</v>
      </c>
      <c r="F139" s="91"/>
      <c r="G139" s="381" t="s">
        <v>97</v>
      </c>
      <c r="H139" s="382"/>
      <c r="I139" s="383"/>
      <c r="J139" s="105" t="s">
        <v>97</v>
      </c>
      <c r="K139" s="106" t="s">
        <v>97</v>
      </c>
      <c r="L139" s="119" t="s">
        <v>97</v>
      </c>
      <c r="M139" s="135" t="s">
        <v>97</v>
      </c>
      <c r="N139" s="123" t="s">
        <v>97</v>
      </c>
      <c r="O139" s="208"/>
      <c r="P139" s="410"/>
      <c r="Q139" s="411"/>
      <c r="R139" s="199" t="s">
        <v>97</v>
      </c>
      <c r="S139" s="113" t="s">
        <v>72</v>
      </c>
      <c r="T139" s="113" t="s">
        <v>134</v>
      </c>
      <c r="U139" s="132"/>
      <c r="V139" s="114" t="s">
        <v>74</v>
      </c>
      <c r="W139" s="105"/>
      <c r="X139" s="117"/>
      <c r="Y139" s="119"/>
      <c r="Z139" s="130"/>
      <c r="AA139" s="138"/>
      <c r="AB139" s="73"/>
    </row>
    <row r="140" spans="1:28" ht="15.75" thickBot="1" x14ac:dyDescent="0.3">
      <c r="A140" s="31">
        <v>46</v>
      </c>
      <c r="B140" s="193"/>
      <c r="C140" s="187" t="s">
        <v>97</v>
      </c>
      <c r="D140" s="104" t="s">
        <v>97</v>
      </c>
      <c r="E140" s="208" t="s">
        <v>97</v>
      </c>
      <c r="F140" s="91"/>
      <c r="G140" s="381" t="s">
        <v>97</v>
      </c>
      <c r="H140" s="382"/>
      <c r="I140" s="383"/>
      <c r="J140" s="105" t="s">
        <v>97</v>
      </c>
      <c r="K140" s="106" t="s">
        <v>97</v>
      </c>
      <c r="L140" s="119" t="s">
        <v>97</v>
      </c>
      <c r="M140" s="135" t="s">
        <v>97</v>
      </c>
      <c r="N140" s="123" t="s">
        <v>97</v>
      </c>
      <c r="O140" s="208"/>
      <c r="P140" s="410"/>
      <c r="Q140" s="411"/>
      <c r="R140" s="199" t="s">
        <v>97</v>
      </c>
      <c r="S140" s="113" t="s">
        <v>72</v>
      </c>
      <c r="T140" s="113" t="s">
        <v>134</v>
      </c>
      <c r="U140" s="132"/>
      <c r="V140" s="114" t="s">
        <v>74</v>
      </c>
      <c r="W140" s="105"/>
      <c r="X140" s="117"/>
      <c r="Y140" s="119"/>
      <c r="Z140" s="130"/>
      <c r="AA140" s="138"/>
      <c r="AB140" s="73"/>
    </row>
    <row r="141" spans="1:28" ht="15.75" thickBot="1" x14ac:dyDescent="0.3">
      <c r="A141" s="31">
        <v>47</v>
      </c>
      <c r="B141" s="193"/>
      <c r="C141" s="187" t="s">
        <v>97</v>
      </c>
      <c r="D141" s="104" t="s">
        <v>97</v>
      </c>
      <c r="E141" s="208" t="s">
        <v>97</v>
      </c>
      <c r="F141" s="91"/>
      <c r="G141" s="381" t="s">
        <v>97</v>
      </c>
      <c r="H141" s="382"/>
      <c r="I141" s="383"/>
      <c r="J141" s="105" t="s">
        <v>97</v>
      </c>
      <c r="K141" s="106" t="s">
        <v>97</v>
      </c>
      <c r="L141" s="119" t="s">
        <v>97</v>
      </c>
      <c r="M141" s="135" t="s">
        <v>97</v>
      </c>
      <c r="N141" s="123" t="s">
        <v>97</v>
      </c>
      <c r="O141" s="208"/>
      <c r="P141" s="410"/>
      <c r="Q141" s="411"/>
      <c r="R141" s="199" t="s">
        <v>97</v>
      </c>
      <c r="S141" s="113" t="s">
        <v>72</v>
      </c>
      <c r="T141" s="113" t="s">
        <v>134</v>
      </c>
      <c r="U141" s="132"/>
      <c r="V141" s="114" t="s">
        <v>74</v>
      </c>
      <c r="W141" s="105"/>
      <c r="X141" s="117"/>
      <c r="Y141" s="119"/>
      <c r="Z141" s="130"/>
      <c r="AA141" s="138"/>
      <c r="AB141" s="73"/>
    </row>
    <row r="142" spans="1:28" ht="15.75" thickBot="1" x14ac:dyDescent="0.3">
      <c r="A142" s="31">
        <v>48</v>
      </c>
      <c r="B142" s="193"/>
      <c r="C142" s="187" t="s">
        <v>97</v>
      </c>
      <c r="D142" s="104" t="s">
        <v>97</v>
      </c>
      <c r="E142" s="208" t="s">
        <v>97</v>
      </c>
      <c r="F142" s="91"/>
      <c r="G142" s="381" t="s">
        <v>97</v>
      </c>
      <c r="H142" s="382"/>
      <c r="I142" s="383"/>
      <c r="J142" s="105" t="s">
        <v>97</v>
      </c>
      <c r="K142" s="106" t="s">
        <v>97</v>
      </c>
      <c r="L142" s="119" t="s">
        <v>97</v>
      </c>
      <c r="M142" s="135" t="s">
        <v>97</v>
      </c>
      <c r="N142" s="123" t="s">
        <v>97</v>
      </c>
      <c r="O142" s="208"/>
      <c r="P142" s="410"/>
      <c r="Q142" s="411"/>
      <c r="R142" s="199" t="s">
        <v>97</v>
      </c>
      <c r="S142" s="113" t="s">
        <v>72</v>
      </c>
      <c r="T142" s="113" t="s">
        <v>134</v>
      </c>
      <c r="U142" s="132"/>
      <c r="V142" s="114" t="s">
        <v>74</v>
      </c>
      <c r="W142" s="105"/>
      <c r="X142" s="117"/>
      <c r="Y142" s="119"/>
      <c r="Z142" s="130"/>
      <c r="AA142" s="138"/>
      <c r="AB142" s="73"/>
    </row>
    <row r="143" spans="1:28" ht="15.75" thickBot="1" x14ac:dyDescent="0.3">
      <c r="A143" s="31">
        <v>49</v>
      </c>
      <c r="B143" s="193"/>
      <c r="C143" s="187" t="s">
        <v>97</v>
      </c>
      <c r="D143" s="104" t="s">
        <v>97</v>
      </c>
      <c r="E143" s="208" t="s">
        <v>97</v>
      </c>
      <c r="F143" s="91"/>
      <c r="G143" s="381" t="s">
        <v>97</v>
      </c>
      <c r="H143" s="382"/>
      <c r="I143" s="383"/>
      <c r="J143" s="105" t="s">
        <v>97</v>
      </c>
      <c r="K143" s="106" t="s">
        <v>97</v>
      </c>
      <c r="L143" s="119" t="s">
        <v>97</v>
      </c>
      <c r="M143" s="135" t="s">
        <v>97</v>
      </c>
      <c r="N143" s="123" t="s">
        <v>97</v>
      </c>
      <c r="O143" s="208"/>
      <c r="P143" s="410"/>
      <c r="Q143" s="411"/>
      <c r="R143" s="199" t="s">
        <v>97</v>
      </c>
      <c r="S143" s="113" t="s">
        <v>72</v>
      </c>
      <c r="T143" s="113" t="s">
        <v>134</v>
      </c>
      <c r="U143" s="132"/>
      <c r="V143" s="114" t="s">
        <v>74</v>
      </c>
      <c r="W143" s="105"/>
      <c r="X143" s="117"/>
      <c r="Y143" s="119"/>
      <c r="Z143" s="130"/>
      <c r="AA143" s="138"/>
      <c r="AB143" s="73"/>
    </row>
    <row r="144" spans="1:28" ht="15.75" thickBot="1" x14ac:dyDescent="0.3">
      <c r="A144" s="31">
        <v>50</v>
      </c>
      <c r="B144" s="193"/>
      <c r="C144" s="187" t="s">
        <v>97</v>
      </c>
      <c r="D144" s="104" t="s">
        <v>97</v>
      </c>
      <c r="E144" s="208" t="s">
        <v>97</v>
      </c>
      <c r="F144" s="91"/>
      <c r="G144" s="381" t="s">
        <v>97</v>
      </c>
      <c r="H144" s="382"/>
      <c r="I144" s="383"/>
      <c r="J144" s="105" t="s">
        <v>97</v>
      </c>
      <c r="K144" s="106" t="s">
        <v>97</v>
      </c>
      <c r="L144" s="119" t="s">
        <v>97</v>
      </c>
      <c r="M144" s="135" t="s">
        <v>97</v>
      </c>
      <c r="N144" s="123" t="s">
        <v>97</v>
      </c>
      <c r="O144" s="208"/>
      <c r="P144" s="410"/>
      <c r="Q144" s="411"/>
      <c r="R144" s="199" t="s">
        <v>97</v>
      </c>
      <c r="S144" s="113" t="s">
        <v>72</v>
      </c>
      <c r="T144" s="113" t="s">
        <v>134</v>
      </c>
      <c r="U144" s="132"/>
      <c r="V144" s="114" t="s">
        <v>74</v>
      </c>
      <c r="W144" s="105"/>
      <c r="X144" s="117"/>
      <c r="Y144" s="119"/>
      <c r="Z144" s="130"/>
      <c r="AA144" s="138"/>
      <c r="AB144" s="73"/>
    </row>
    <row r="145" spans="1:28" ht="15.75" thickBot="1" x14ac:dyDescent="0.3">
      <c r="A145" s="31">
        <v>51</v>
      </c>
      <c r="B145" s="193"/>
      <c r="C145" s="187" t="s">
        <v>97</v>
      </c>
      <c r="D145" s="104" t="s">
        <v>97</v>
      </c>
      <c r="E145" s="208" t="s">
        <v>97</v>
      </c>
      <c r="F145" s="91"/>
      <c r="G145" s="381" t="s">
        <v>97</v>
      </c>
      <c r="H145" s="382"/>
      <c r="I145" s="383"/>
      <c r="J145" s="105" t="s">
        <v>97</v>
      </c>
      <c r="K145" s="106" t="s">
        <v>97</v>
      </c>
      <c r="L145" s="119" t="s">
        <v>97</v>
      </c>
      <c r="M145" s="135" t="s">
        <v>97</v>
      </c>
      <c r="N145" s="123" t="s">
        <v>97</v>
      </c>
      <c r="O145" s="208"/>
      <c r="P145" s="410"/>
      <c r="Q145" s="411"/>
      <c r="R145" s="199" t="s">
        <v>97</v>
      </c>
      <c r="S145" s="113" t="s">
        <v>72</v>
      </c>
      <c r="T145" s="113" t="s">
        <v>134</v>
      </c>
      <c r="U145" s="132"/>
      <c r="V145" s="114" t="s">
        <v>74</v>
      </c>
      <c r="W145" s="105"/>
      <c r="X145" s="117"/>
      <c r="Y145" s="119"/>
      <c r="Z145" s="130"/>
      <c r="AA145" s="138"/>
      <c r="AB145" s="73"/>
    </row>
    <row r="146" spans="1:28" ht="15.75" thickBot="1" x14ac:dyDescent="0.3">
      <c r="A146" s="31">
        <v>52</v>
      </c>
      <c r="B146" s="193"/>
      <c r="C146" s="187" t="s">
        <v>97</v>
      </c>
      <c r="D146" s="104" t="s">
        <v>97</v>
      </c>
      <c r="E146" s="208" t="s">
        <v>97</v>
      </c>
      <c r="F146" s="91"/>
      <c r="G146" s="381" t="s">
        <v>97</v>
      </c>
      <c r="H146" s="382"/>
      <c r="I146" s="383"/>
      <c r="J146" s="105" t="s">
        <v>97</v>
      </c>
      <c r="K146" s="106" t="s">
        <v>97</v>
      </c>
      <c r="L146" s="119" t="s">
        <v>97</v>
      </c>
      <c r="M146" s="135" t="s">
        <v>97</v>
      </c>
      <c r="N146" s="123" t="s">
        <v>97</v>
      </c>
      <c r="O146" s="208"/>
      <c r="P146" s="410"/>
      <c r="Q146" s="411"/>
      <c r="R146" s="199" t="s">
        <v>97</v>
      </c>
      <c r="S146" s="113" t="s">
        <v>72</v>
      </c>
      <c r="T146" s="113" t="s">
        <v>134</v>
      </c>
      <c r="U146" s="132"/>
      <c r="V146" s="114" t="s">
        <v>74</v>
      </c>
      <c r="W146" s="105"/>
      <c r="X146" s="117"/>
      <c r="Y146" s="119"/>
      <c r="Z146" s="130"/>
      <c r="AA146" s="138"/>
      <c r="AB146" s="73"/>
    </row>
    <row r="147" spans="1:28" ht="15.75" thickBot="1" x14ac:dyDescent="0.3">
      <c r="A147" s="31">
        <v>53</v>
      </c>
      <c r="B147" s="193"/>
      <c r="C147" s="187" t="s">
        <v>97</v>
      </c>
      <c r="D147" s="104" t="s">
        <v>97</v>
      </c>
      <c r="E147" s="208" t="s">
        <v>97</v>
      </c>
      <c r="F147" s="91"/>
      <c r="G147" s="381" t="s">
        <v>97</v>
      </c>
      <c r="H147" s="382"/>
      <c r="I147" s="383"/>
      <c r="J147" s="105" t="s">
        <v>97</v>
      </c>
      <c r="K147" s="106" t="s">
        <v>97</v>
      </c>
      <c r="L147" s="119" t="s">
        <v>97</v>
      </c>
      <c r="M147" s="135" t="s">
        <v>97</v>
      </c>
      <c r="N147" s="123" t="s">
        <v>97</v>
      </c>
      <c r="O147" s="208"/>
      <c r="P147" s="410"/>
      <c r="Q147" s="411"/>
      <c r="R147" s="199" t="s">
        <v>97</v>
      </c>
      <c r="S147" s="113" t="s">
        <v>72</v>
      </c>
      <c r="T147" s="113" t="s">
        <v>134</v>
      </c>
      <c r="U147" s="132"/>
      <c r="V147" s="114" t="s">
        <v>74</v>
      </c>
      <c r="W147" s="105"/>
      <c r="X147" s="117"/>
      <c r="Y147" s="119"/>
      <c r="Z147" s="130"/>
      <c r="AA147" s="138"/>
      <c r="AB147" s="73"/>
    </row>
    <row r="148" spans="1:28" ht="15.75" thickBot="1" x14ac:dyDescent="0.3">
      <c r="A148" s="31">
        <v>54</v>
      </c>
      <c r="B148" s="193"/>
      <c r="C148" s="187" t="s">
        <v>97</v>
      </c>
      <c r="D148" s="104" t="s">
        <v>97</v>
      </c>
      <c r="E148" s="208" t="s">
        <v>97</v>
      </c>
      <c r="F148" s="91"/>
      <c r="G148" s="381" t="s">
        <v>97</v>
      </c>
      <c r="H148" s="382"/>
      <c r="I148" s="383"/>
      <c r="J148" s="105" t="s">
        <v>97</v>
      </c>
      <c r="K148" s="106" t="s">
        <v>97</v>
      </c>
      <c r="L148" s="119" t="s">
        <v>97</v>
      </c>
      <c r="M148" s="135" t="s">
        <v>97</v>
      </c>
      <c r="N148" s="123" t="s">
        <v>97</v>
      </c>
      <c r="O148" s="208"/>
      <c r="P148" s="410"/>
      <c r="Q148" s="411"/>
      <c r="R148" s="199" t="s">
        <v>97</v>
      </c>
      <c r="S148" s="113" t="s">
        <v>72</v>
      </c>
      <c r="T148" s="113" t="s">
        <v>134</v>
      </c>
      <c r="U148" s="132"/>
      <c r="V148" s="114" t="s">
        <v>74</v>
      </c>
      <c r="W148" s="105"/>
      <c r="X148" s="117"/>
      <c r="Y148" s="119"/>
      <c r="Z148" s="130"/>
      <c r="AA148" s="138"/>
      <c r="AB148" s="73"/>
    </row>
    <row r="149" spans="1:28" ht="15.75" thickBot="1" x14ac:dyDescent="0.3">
      <c r="A149" s="31">
        <v>55</v>
      </c>
      <c r="B149" s="193"/>
      <c r="C149" s="187" t="s">
        <v>97</v>
      </c>
      <c r="D149" s="104" t="s">
        <v>97</v>
      </c>
      <c r="E149" s="208" t="s">
        <v>97</v>
      </c>
      <c r="F149" s="91"/>
      <c r="G149" s="381" t="s">
        <v>97</v>
      </c>
      <c r="H149" s="382"/>
      <c r="I149" s="383"/>
      <c r="J149" s="105" t="s">
        <v>97</v>
      </c>
      <c r="K149" s="106" t="s">
        <v>97</v>
      </c>
      <c r="L149" s="119" t="s">
        <v>97</v>
      </c>
      <c r="M149" s="135" t="s">
        <v>97</v>
      </c>
      <c r="N149" s="123" t="s">
        <v>97</v>
      </c>
      <c r="O149" s="208"/>
      <c r="P149" s="410"/>
      <c r="Q149" s="411"/>
      <c r="R149" s="199" t="s">
        <v>97</v>
      </c>
      <c r="S149" s="113" t="s">
        <v>72</v>
      </c>
      <c r="T149" s="113" t="s">
        <v>134</v>
      </c>
      <c r="U149" s="132"/>
      <c r="V149" s="114" t="s">
        <v>74</v>
      </c>
      <c r="W149" s="105"/>
      <c r="X149" s="117"/>
      <c r="Y149" s="119"/>
      <c r="Z149" s="130"/>
      <c r="AA149" s="138"/>
      <c r="AB149" s="73"/>
    </row>
    <row r="150" spans="1:28" ht="15.75" thickBot="1" x14ac:dyDescent="0.3">
      <c r="A150" s="31">
        <v>56</v>
      </c>
      <c r="B150" s="193"/>
      <c r="C150" s="187" t="s">
        <v>97</v>
      </c>
      <c r="D150" s="104" t="s">
        <v>97</v>
      </c>
      <c r="E150" s="208" t="s">
        <v>97</v>
      </c>
      <c r="F150" s="91"/>
      <c r="G150" s="381" t="s">
        <v>97</v>
      </c>
      <c r="H150" s="382"/>
      <c r="I150" s="383"/>
      <c r="J150" s="105" t="s">
        <v>97</v>
      </c>
      <c r="K150" s="106" t="s">
        <v>97</v>
      </c>
      <c r="L150" s="119" t="s">
        <v>97</v>
      </c>
      <c r="M150" s="135" t="s">
        <v>97</v>
      </c>
      <c r="N150" s="123" t="s">
        <v>97</v>
      </c>
      <c r="O150" s="208"/>
      <c r="P150" s="410"/>
      <c r="Q150" s="411"/>
      <c r="R150" s="199" t="s">
        <v>97</v>
      </c>
      <c r="S150" s="113" t="s">
        <v>72</v>
      </c>
      <c r="T150" s="113" t="s">
        <v>134</v>
      </c>
      <c r="U150" s="132"/>
      <c r="V150" s="114" t="s">
        <v>74</v>
      </c>
      <c r="W150" s="105"/>
      <c r="X150" s="117"/>
      <c r="Y150" s="119"/>
      <c r="Z150" s="130"/>
      <c r="AA150" s="138"/>
      <c r="AB150" s="73"/>
    </row>
    <row r="151" spans="1:28" ht="15.75" thickBot="1" x14ac:dyDescent="0.3">
      <c r="A151" s="31">
        <v>57</v>
      </c>
      <c r="B151" s="193"/>
      <c r="C151" s="187" t="s">
        <v>97</v>
      </c>
      <c r="D151" s="104" t="s">
        <v>97</v>
      </c>
      <c r="E151" s="208" t="s">
        <v>97</v>
      </c>
      <c r="F151" s="91"/>
      <c r="G151" s="381" t="s">
        <v>97</v>
      </c>
      <c r="H151" s="382"/>
      <c r="I151" s="383"/>
      <c r="J151" s="105" t="s">
        <v>97</v>
      </c>
      <c r="K151" s="106" t="s">
        <v>97</v>
      </c>
      <c r="L151" s="119" t="s">
        <v>97</v>
      </c>
      <c r="M151" s="135" t="s">
        <v>97</v>
      </c>
      <c r="N151" s="123" t="s">
        <v>97</v>
      </c>
      <c r="O151" s="208"/>
      <c r="P151" s="410"/>
      <c r="Q151" s="411"/>
      <c r="R151" s="199" t="s">
        <v>97</v>
      </c>
      <c r="S151" s="113" t="s">
        <v>72</v>
      </c>
      <c r="T151" s="113" t="s">
        <v>134</v>
      </c>
      <c r="U151" s="132"/>
      <c r="V151" s="114" t="s">
        <v>74</v>
      </c>
      <c r="W151" s="105"/>
      <c r="X151" s="117"/>
      <c r="Y151" s="119"/>
      <c r="Z151" s="130"/>
      <c r="AA151" s="138"/>
      <c r="AB151" s="73"/>
    </row>
    <row r="152" spans="1:28" ht="15.75" thickBot="1" x14ac:dyDescent="0.3">
      <c r="A152" s="31">
        <v>58</v>
      </c>
      <c r="B152" s="193"/>
      <c r="C152" s="187" t="s">
        <v>97</v>
      </c>
      <c r="D152" s="104" t="s">
        <v>97</v>
      </c>
      <c r="E152" s="208" t="s">
        <v>97</v>
      </c>
      <c r="F152" s="91"/>
      <c r="G152" s="381" t="s">
        <v>97</v>
      </c>
      <c r="H152" s="382"/>
      <c r="I152" s="383"/>
      <c r="J152" s="105" t="s">
        <v>97</v>
      </c>
      <c r="K152" s="106" t="s">
        <v>97</v>
      </c>
      <c r="L152" s="119" t="s">
        <v>97</v>
      </c>
      <c r="M152" s="135" t="s">
        <v>97</v>
      </c>
      <c r="N152" s="123" t="s">
        <v>97</v>
      </c>
      <c r="O152" s="208"/>
      <c r="P152" s="410"/>
      <c r="Q152" s="411"/>
      <c r="R152" s="199" t="s">
        <v>97</v>
      </c>
      <c r="S152" s="113" t="s">
        <v>72</v>
      </c>
      <c r="T152" s="113" t="s">
        <v>134</v>
      </c>
      <c r="U152" s="132"/>
      <c r="V152" s="114" t="s">
        <v>74</v>
      </c>
      <c r="W152" s="105"/>
      <c r="X152" s="117"/>
      <c r="Y152" s="119"/>
      <c r="Z152" s="130"/>
      <c r="AA152" s="138"/>
      <c r="AB152" s="73"/>
    </row>
    <row r="153" spans="1:28" ht="15.75" thickBot="1" x14ac:dyDescent="0.3">
      <c r="A153" s="31">
        <v>59</v>
      </c>
      <c r="B153" s="193"/>
      <c r="C153" s="187" t="s">
        <v>97</v>
      </c>
      <c r="D153" s="104" t="s">
        <v>97</v>
      </c>
      <c r="E153" s="208" t="s">
        <v>97</v>
      </c>
      <c r="F153" s="91"/>
      <c r="G153" s="381" t="s">
        <v>97</v>
      </c>
      <c r="H153" s="382"/>
      <c r="I153" s="383"/>
      <c r="J153" s="105" t="s">
        <v>97</v>
      </c>
      <c r="K153" s="106" t="s">
        <v>97</v>
      </c>
      <c r="L153" s="119" t="s">
        <v>97</v>
      </c>
      <c r="M153" s="135" t="s">
        <v>97</v>
      </c>
      <c r="N153" s="123" t="s">
        <v>97</v>
      </c>
      <c r="O153" s="208"/>
      <c r="P153" s="410"/>
      <c r="Q153" s="411"/>
      <c r="R153" s="199" t="s">
        <v>97</v>
      </c>
      <c r="S153" s="113" t="s">
        <v>72</v>
      </c>
      <c r="T153" s="113" t="s">
        <v>134</v>
      </c>
      <c r="U153" s="132"/>
      <c r="V153" s="114" t="s">
        <v>74</v>
      </c>
      <c r="W153" s="105"/>
      <c r="X153" s="117"/>
      <c r="Y153" s="119"/>
      <c r="Z153" s="130"/>
      <c r="AA153" s="138"/>
      <c r="AB153" s="73"/>
    </row>
    <row r="154" spans="1:28" ht="15.75" thickBot="1" x14ac:dyDescent="0.3">
      <c r="A154" s="31">
        <v>60</v>
      </c>
      <c r="B154" s="193"/>
      <c r="C154" s="187" t="s">
        <v>97</v>
      </c>
      <c r="D154" s="104" t="s">
        <v>97</v>
      </c>
      <c r="E154" s="208" t="s">
        <v>97</v>
      </c>
      <c r="F154" s="91"/>
      <c r="G154" s="381" t="s">
        <v>97</v>
      </c>
      <c r="H154" s="382"/>
      <c r="I154" s="383"/>
      <c r="J154" s="105" t="s">
        <v>97</v>
      </c>
      <c r="K154" s="106" t="s">
        <v>97</v>
      </c>
      <c r="L154" s="119" t="s">
        <v>97</v>
      </c>
      <c r="M154" s="135" t="s">
        <v>97</v>
      </c>
      <c r="N154" s="123" t="s">
        <v>97</v>
      </c>
      <c r="O154" s="208"/>
      <c r="P154" s="410"/>
      <c r="Q154" s="411"/>
      <c r="R154" s="199" t="s">
        <v>97</v>
      </c>
      <c r="S154" s="113" t="s">
        <v>72</v>
      </c>
      <c r="T154" s="113" t="s">
        <v>134</v>
      </c>
      <c r="U154" s="132"/>
      <c r="V154" s="114" t="s">
        <v>74</v>
      </c>
      <c r="W154" s="105"/>
      <c r="X154" s="117"/>
      <c r="Y154" s="119"/>
      <c r="Z154" s="130"/>
      <c r="AA154" s="138"/>
      <c r="AB154" s="73"/>
    </row>
    <row r="155" spans="1:28" ht="15.75" thickBot="1" x14ac:dyDescent="0.3">
      <c r="A155" s="31">
        <v>61</v>
      </c>
      <c r="B155" s="193"/>
      <c r="C155" s="187" t="s">
        <v>97</v>
      </c>
      <c r="D155" s="104" t="s">
        <v>97</v>
      </c>
      <c r="E155" s="208" t="s">
        <v>97</v>
      </c>
      <c r="F155" s="91"/>
      <c r="G155" s="381" t="s">
        <v>97</v>
      </c>
      <c r="H155" s="382"/>
      <c r="I155" s="383"/>
      <c r="J155" s="105" t="s">
        <v>97</v>
      </c>
      <c r="K155" s="106" t="s">
        <v>97</v>
      </c>
      <c r="L155" s="119" t="s">
        <v>97</v>
      </c>
      <c r="M155" s="135" t="s">
        <v>97</v>
      </c>
      <c r="N155" s="123" t="s">
        <v>97</v>
      </c>
      <c r="O155" s="208"/>
      <c r="P155" s="410"/>
      <c r="Q155" s="411"/>
      <c r="R155" s="199" t="s">
        <v>97</v>
      </c>
      <c r="S155" s="113" t="s">
        <v>72</v>
      </c>
      <c r="T155" s="113" t="s">
        <v>134</v>
      </c>
      <c r="U155" s="132"/>
      <c r="V155" s="114" t="s">
        <v>74</v>
      </c>
      <c r="W155" s="105"/>
      <c r="X155" s="117"/>
      <c r="Y155" s="119"/>
      <c r="Z155" s="130"/>
      <c r="AA155" s="138"/>
      <c r="AB155" s="73"/>
    </row>
    <row r="156" spans="1:28" ht="15.75" thickBot="1" x14ac:dyDescent="0.3">
      <c r="A156" s="31">
        <v>62</v>
      </c>
      <c r="B156" s="193"/>
      <c r="C156" s="187" t="s">
        <v>97</v>
      </c>
      <c r="D156" s="104" t="s">
        <v>97</v>
      </c>
      <c r="E156" s="208" t="s">
        <v>97</v>
      </c>
      <c r="F156" s="91"/>
      <c r="G156" s="381" t="s">
        <v>97</v>
      </c>
      <c r="H156" s="382"/>
      <c r="I156" s="383"/>
      <c r="J156" s="105" t="s">
        <v>97</v>
      </c>
      <c r="K156" s="106" t="s">
        <v>97</v>
      </c>
      <c r="L156" s="119" t="s">
        <v>97</v>
      </c>
      <c r="M156" s="135" t="s">
        <v>97</v>
      </c>
      <c r="N156" s="123" t="s">
        <v>97</v>
      </c>
      <c r="O156" s="208"/>
      <c r="P156" s="410"/>
      <c r="Q156" s="411"/>
      <c r="R156" s="199" t="s">
        <v>97</v>
      </c>
      <c r="S156" s="113" t="s">
        <v>72</v>
      </c>
      <c r="T156" s="113" t="s">
        <v>134</v>
      </c>
      <c r="U156" s="132"/>
      <c r="V156" s="114" t="s">
        <v>74</v>
      </c>
      <c r="W156" s="105"/>
      <c r="X156" s="117"/>
      <c r="Y156" s="119"/>
      <c r="Z156" s="130"/>
      <c r="AA156" s="138"/>
      <c r="AB156" s="73"/>
    </row>
    <row r="157" spans="1:28" ht="15.75" thickBot="1" x14ac:dyDescent="0.3">
      <c r="A157" s="31">
        <v>63</v>
      </c>
      <c r="B157" s="193"/>
      <c r="C157" s="187" t="s">
        <v>97</v>
      </c>
      <c r="D157" s="104" t="s">
        <v>97</v>
      </c>
      <c r="E157" s="208" t="s">
        <v>97</v>
      </c>
      <c r="F157" s="91"/>
      <c r="G157" s="381" t="s">
        <v>97</v>
      </c>
      <c r="H157" s="382"/>
      <c r="I157" s="383"/>
      <c r="J157" s="105" t="s">
        <v>97</v>
      </c>
      <c r="K157" s="106" t="s">
        <v>97</v>
      </c>
      <c r="L157" s="119" t="s">
        <v>97</v>
      </c>
      <c r="M157" s="135" t="s">
        <v>97</v>
      </c>
      <c r="N157" s="123" t="s">
        <v>97</v>
      </c>
      <c r="O157" s="208"/>
      <c r="P157" s="410"/>
      <c r="Q157" s="411"/>
      <c r="R157" s="199" t="s">
        <v>97</v>
      </c>
      <c r="S157" s="113" t="s">
        <v>72</v>
      </c>
      <c r="T157" s="113" t="s">
        <v>134</v>
      </c>
      <c r="U157" s="132"/>
      <c r="V157" s="114" t="s">
        <v>74</v>
      </c>
      <c r="W157" s="105"/>
      <c r="X157" s="117"/>
      <c r="Y157" s="119"/>
      <c r="Z157" s="130"/>
      <c r="AA157" s="138"/>
      <c r="AB157" s="73"/>
    </row>
    <row r="158" spans="1:28" ht="15.75" thickBot="1" x14ac:dyDescent="0.3">
      <c r="A158" s="31">
        <v>64</v>
      </c>
      <c r="B158" s="193"/>
      <c r="C158" s="187" t="s">
        <v>97</v>
      </c>
      <c r="D158" s="104" t="s">
        <v>97</v>
      </c>
      <c r="E158" s="208" t="s">
        <v>97</v>
      </c>
      <c r="F158" s="91"/>
      <c r="G158" s="381" t="s">
        <v>97</v>
      </c>
      <c r="H158" s="382"/>
      <c r="I158" s="383"/>
      <c r="J158" s="105" t="s">
        <v>97</v>
      </c>
      <c r="K158" s="106" t="s">
        <v>97</v>
      </c>
      <c r="L158" s="119" t="s">
        <v>97</v>
      </c>
      <c r="M158" s="135" t="s">
        <v>97</v>
      </c>
      <c r="N158" s="123" t="s">
        <v>97</v>
      </c>
      <c r="O158" s="208"/>
      <c r="P158" s="410"/>
      <c r="Q158" s="411"/>
      <c r="R158" s="199" t="s">
        <v>97</v>
      </c>
      <c r="S158" s="113" t="s">
        <v>72</v>
      </c>
      <c r="T158" s="113" t="s">
        <v>134</v>
      </c>
      <c r="U158" s="132"/>
      <c r="V158" s="114" t="s">
        <v>74</v>
      </c>
      <c r="W158" s="105"/>
      <c r="X158" s="117"/>
      <c r="Y158" s="119"/>
      <c r="Z158" s="130"/>
      <c r="AA158" s="138"/>
      <c r="AB158" s="73"/>
    </row>
    <row r="159" spans="1:28" ht="15.75" thickBot="1" x14ac:dyDescent="0.3">
      <c r="A159" s="31">
        <v>65</v>
      </c>
      <c r="B159" s="193"/>
      <c r="C159" s="187" t="s">
        <v>97</v>
      </c>
      <c r="D159" s="104" t="s">
        <v>97</v>
      </c>
      <c r="E159" s="208" t="s">
        <v>97</v>
      </c>
      <c r="F159" s="91"/>
      <c r="G159" s="381" t="s">
        <v>97</v>
      </c>
      <c r="H159" s="382"/>
      <c r="I159" s="383"/>
      <c r="J159" s="105" t="s">
        <v>97</v>
      </c>
      <c r="K159" s="106" t="s">
        <v>97</v>
      </c>
      <c r="L159" s="119" t="s">
        <v>97</v>
      </c>
      <c r="M159" s="135" t="s">
        <v>97</v>
      </c>
      <c r="N159" s="123" t="s">
        <v>97</v>
      </c>
      <c r="O159" s="208"/>
      <c r="P159" s="410"/>
      <c r="Q159" s="411"/>
      <c r="R159" s="199" t="s">
        <v>97</v>
      </c>
      <c r="S159" s="113" t="s">
        <v>72</v>
      </c>
      <c r="T159" s="113" t="s">
        <v>134</v>
      </c>
      <c r="U159" s="132"/>
      <c r="V159" s="114" t="s">
        <v>74</v>
      </c>
      <c r="W159" s="105"/>
      <c r="X159" s="117"/>
      <c r="Y159" s="119"/>
      <c r="Z159" s="130"/>
      <c r="AA159" s="138"/>
      <c r="AB159" s="73"/>
    </row>
    <row r="160" spans="1:28" ht="15.75" thickBot="1" x14ac:dyDescent="0.3">
      <c r="A160" s="31">
        <v>66</v>
      </c>
      <c r="B160" s="193"/>
      <c r="C160" s="187" t="s">
        <v>97</v>
      </c>
      <c r="D160" s="104" t="s">
        <v>97</v>
      </c>
      <c r="E160" s="208" t="s">
        <v>97</v>
      </c>
      <c r="F160" s="91"/>
      <c r="G160" s="381" t="s">
        <v>97</v>
      </c>
      <c r="H160" s="382"/>
      <c r="I160" s="383"/>
      <c r="J160" s="105" t="s">
        <v>97</v>
      </c>
      <c r="K160" s="106" t="s">
        <v>97</v>
      </c>
      <c r="L160" s="119" t="s">
        <v>97</v>
      </c>
      <c r="M160" s="135" t="s">
        <v>97</v>
      </c>
      <c r="N160" s="123" t="s">
        <v>97</v>
      </c>
      <c r="O160" s="208"/>
      <c r="P160" s="410"/>
      <c r="Q160" s="411"/>
      <c r="R160" s="199" t="s">
        <v>97</v>
      </c>
      <c r="S160" s="113" t="s">
        <v>72</v>
      </c>
      <c r="T160" s="113" t="s">
        <v>134</v>
      </c>
      <c r="U160" s="132"/>
      <c r="V160" s="114" t="s">
        <v>74</v>
      </c>
      <c r="W160" s="105"/>
      <c r="X160" s="117"/>
      <c r="Y160" s="119"/>
      <c r="Z160" s="130"/>
      <c r="AA160" s="138"/>
      <c r="AB160" s="73"/>
    </row>
    <row r="161" spans="1:28" ht="15.75" thickBot="1" x14ac:dyDescent="0.3">
      <c r="A161" s="31">
        <v>67</v>
      </c>
      <c r="B161" s="193"/>
      <c r="C161" s="187" t="s">
        <v>97</v>
      </c>
      <c r="D161" s="104" t="s">
        <v>97</v>
      </c>
      <c r="E161" s="208" t="s">
        <v>97</v>
      </c>
      <c r="F161" s="91"/>
      <c r="G161" s="381" t="s">
        <v>97</v>
      </c>
      <c r="H161" s="382"/>
      <c r="I161" s="383"/>
      <c r="J161" s="105" t="s">
        <v>97</v>
      </c>
      <c r="K161" s="106" t="s">
        <v>97</v>
      </c>
      <c r="L161" s="119" t="s">
        <v>97</v>
      </c>
      <c r="M161" s="135" t="s">
        <v>97</v>
      </c>
      <c r="N161" s="123" t="s">
        <v>97</v>
      </c>
      <c r="O161" s="208"/>
      <c r="P161" s="410"/>
      <c r="Q161" s="411"/>
      <c r="R161" s="199" t="s">
        <v>97</v>
      </c>
      <c r="S161" s="113" t="s">
        <v>72</v>
      </c>
      <c r="T161" s="113" t="s">
        <v>134</v>
      </c>
      <c r="U161" s="132"/>
      <c r="V161" s="114" t="s">
        <v>74</v>
      </c>
      <c r="W161" s="105"/>
      <c r="X161" s="117"/>
      <c r="Y161" s="119"/>
      <c r="Z161" s="130"/>
      <c r="AA161" s="138"/>
      <c r="AB161" s="73"/>
    </row>
    <row r="162" spans="1:28" ht="15.75" thickBot="1" x14ac:dyDescent="0.3">
      <c r="A162" s="31">
        <v>68</v>
      </c>
      <c r="B162" s="193"/>
      <c r="C162" s="187" t="s">
        <v>97</v>
      </c>
      <c r="D162" s="104" t="s">
        <v>97</v>
      </c>
      <c r="E162" s="208" t="s">
        <v>97</v>
      </c>
      <c r="F162" s="91"/>
      <c r="G162" s="381" t="s">
        <v>97</v>
      </c>
      <c r="H162" s="382"/>
      <c r="I162" s="383"/>
      <c r="J162" s="105" t="s">
        <v>97</v>
      </c>
      <c r="K162" s="106" t="s">
        <v>97</v>
      </c>
      <c r="L162" s="119" t="s">
        <v>97</v>
      </c>
      <c r="M162" s="135" t="s">
        <v>97</v>
      </c>
      <c r="N162" s="123" t="s">
        <v>97</v>
      </c>
      <c r="O162" s="208"/>
      <c r="P162" s="410"/>
      <c r="Q162" s="411"/>
      <c r="R162" s="199" t="s">
        <v>97</v>
      </c>
      <c r="S162" s="113" t="s">
        <v>72</v>
      </c>
      <c r="T162" s="113" t="s">
        <v>134</v>
      </c>
      <c r="U162" s="132"/>
      <c r="V162" s="114" t="s">
        <v>74</v>
      </c>
      <c r="W162" s="105"/>
      <c r="X162" s="117"/>
      <c r="Y162" s="119"/>
      <c r="Z162" s="130"/>
      <c r="AA162" s="138"/>
      <c r="AB162" s="73"/>
    </row>
    <row r="163" spans="1:28" ht="15.75" thickBot="1" x14ac:dyDescent="0.3">
      <c r="A163" s="31">
        <v>69</v>
      </c>
      <c r="B163" s="193"/>
      <c r="C163" s="187" t="s">
        <v>97</v>
      </c>
      <c r="D163" s="104" t="s">
        <v>97</v>
      </c>
      <c r="E163" s="208" t="s">
        <v>97</v>
      </c>
      <c r="F163" s="91"/>
      <c r="G163" s="381" t="s">
        <v>97</v>
      </c>
      <c r="H163" s="382"/>
      <c r="I163" s="383"/>
      <c r="J163" s="105" t="s">
        <v>97</v>
      </c>
      <c r="K163" s="106" t="s">
        <v>97</v>
      </c>
      <c r="L163" s="119" t="s">
        <v>97</v>
      </c>
      <c r="M163" s="135" t="s">
        <v>97</v>
      </c>
      <c r="N163" s="123" t="s">
        <v>97</v>
      </c>
      <c r="O163" s="208"/>
      <c r="P163" s="410"/>
      <c r="Q163" s="411"/>
      <c r="R163" s="199" t="s">
        <v>97</v>
      </c>
      <c r="S163" s="113" t="s">
        <v>72</v>
      </c>
      <c r="T163" s="113" t="s">
        <v>134</v>
      </c>
      <c r="U163" s="132"/>
      <c r="V163" s="114" t="s">
        <v>74</v>
      </c>
      <c r="W163" s="105"/>
      <c r="X163" s="117"/>
      <c r="Y163" s="119"/>
      <c r="Z163" s="130"/>
      <c r="AA163" s="138"/>
      <c r="AB163" s="73"/>
    </row>
    <row r="164" spans="1:28" ht="15.75" thickBot="1" x14ac:dyDescent="0.3">
      <c r="A164" s="31">
        <v>70</v>
      </c>
      <c r="B164" s="193"/>
      <c r="C164" s="187" t="s">
        <v>97</v>
      </c>
      <c r="D164" s="104" t="s">
        <v>97</v>
      </c>
      <c r="E164" s="208" t="s">
        <v>97</v>
      </c>
      <c r="F164" s="91"/>
      <c r="G164" s="381" t="s">
        <v>97</v>
      </c>
      <c r="H164" s="382"/>
      <c r="I164" s="383"/>
      <c r="J164" s="105" t="s">
        <v>97</v>
      </c>
      <c r="K164" s="106" t="s">
        <v>97</v>
      </c>
      <c r="L164" s="119" t="s">
        <v>97</v>
      </c>
      <c r="M164" s="135" t="s">
        <v>97</v>
      </c>
      <c r="N164" s="123" t="s">
        <v>97</v>
      </c>
      <c r="O164" s="208"/>
      <c r="P164" s="410"/>
      <c r="Q164" s="411"/>
      <c r="R164" s="199" t="s">
        <v>97</v>
      </c>
      <c r="S164" s="113" t="s">
        <v>72</v>
      </c>
      <c r="T164" s="113" t="s">
        <v>134</v>
      </c>
      <c r="U164" s="132"/>
      <c r="V164" s="114" t="s">
        <v>74</v>
      </c>
      <c r="W164" s="105"/>
      <c r="X164" s="117"/>
      <c r="Y164" s="119"/>
      <c r="Z164" s="130"/>
      <c r="AA164" s="138"/>
      <c r="AB164" s="73"/>
    </row>
    <row r="165" spans="1:28" ht="15.75" thickBot="1" x14ac:dyDescent="0.3">
      <c r="A165" s="31">
        <v>71</v>
      </c>
      <c r="B165" s="193"/>
      <c r="C165" s="187" t="s">
        <v>97</v>
      </c>
      <c r="D165" s="104" t="s">
        <v>97</v>
      </c>
      <c r="E165" s="208" t="s">
        <v>97</v>
      </c>
      <c r="F165" s="91"/>
      <c r="G165" s="381" t="s">
        <v>97</v>
      </c>
      <c r="H165" s="382"/>
      <c r="I165" s="383"/>
      <c r="J165" s="105" t="s">
        <v>97</v>
      </c>
      <c r="K165" s="106" t="s">
        <v>97</v>
      </c>
      <c r="L165" s="119" t="s">
        <v>97</v>
      </c>
      <c r="M165" s="135" t="s">
        <v>97</v>
      </c>
      <c r="N165" s="123" t="s">
        <v>97</v>
      </c>
      <c r="O165" s="208"/>
      <c r="P165" s="410"/>
      <c r="Q165" s="411"/>
      <c r="R165" s="199" t="s">
        <v>97</v>
      </c>
      <c r="S165" s="113" t="s">
        <v>72</v>
      </c>
      <c r="T165" s="113" t="s">
        <v>134</v>
      </c>
      <c r="U165" s="132"/>
      <c r="V165" s="114" t="s">
        <v>74</v>
      </c>
      <c r="W165" s="105"/>
      <c r="X165" s="117"/>
      <c r="Y165" s="119"/>
      <c r="Z165" s="130"/>
      <c r="AA165" s="138"/>
      <c r="AB165" s="73"/>
    </row>
    <row r="166" spans="1:28" ht="15.75" thickBot="1" x14ac:dyDescent="0.3">
      <c r="A166" s="31">
        <v>72</v>
      </c>
      <c r="B166" s="193"/>
      <c r="C166" s="187" t="s">
        <v>97</v>
      </c>
      <c r="D166" s="104" t="s">
        <v>97</v>
      </c>
      <c r="E166" s="208" t="s">
        <v>97</v>
      </c>
      <c r="F166" s="91"/>
      <c r="G166" s="381" t="s">
        <v>97</v>
      </c>
      <c r="H166" s="382"/>
      <c r="I166" s="383"/>
      <c r="J166" s="105" t="s">
        <v>97</v>
      </c>
      <c r="K166" s="106" t="s">
        <v>97</v>
      </c>
      <c r="L166" s="119" t="s">
        <v>97</v>
      </c>
      <c r="M166" s="135" t="s">
        <v>97</v>
      </c>
      <c r="N166" s="123" t="s">
        <v>97</v>
      </c>
      <c r="O166" s="208"/>
      <c r="P166" s="410"/>
      <c r="Q166" s="411"/>
      <c r="R166" s="199" t="s">
        <v>97</v>
      </c>
      <c r="S166" s="113" t="s">
        <v>72</v>
      </c>
      <c r="T166" s="113" t="s">
        <v>134</v>
      </c>
      <c r="U166" s="132"/>
      <c r="V166" s="114" t="s">
        <v>74</v>
      </c>
      <c r="W166" s="105"/>
      <c r="X166" s="117"/>
      <c r="Y166" s="119"/>
      <c r="Z166" s="130"/>
      <c r="AA166" s="138"/>
      <c r="AB166" s="73"/>
    </row>
    <row r="167" spans="1:28" ht="15.75" thickBot="1" x14ac:dyDescent="0.3">
      <c r="A167" s="31">
        <v>73</v>
      </c>
      <c r="B167" s="193"/>
      <c r="C167" s="187" t="s">
        <v>97</v>
      </c>
      <c r="D167" s="104" t="s">
        <v>97</v>
      </c>
      <c r="E167" s="208" t="s">
        <v>97</v>
      </c>
      <c r="F167" s="91"/>
      <c r="G167" s="381" t="s">
        <v>97</v>
      </c>
      <c r="H167" s="382"/>
      <c r="I167" s="383"/>
      <c r="J167" s="105" t="s">
        <v>97</v>
      </c>
      <c r="K167" s="106" t="s">
        <v>97</v>
      </c>
      <c r="L167" s="119" t="s">
        <v>97</v>
      </c>
      <c r="M167" s="135" t="s">
        <v>97</v>
      </c>
      <c r="N167" s="123" t="s">
        <v>97</v>
      </c>
      <c r="O167" s="208"/>
      <c r="P167" s="410"/>
      <c r="Q167" s="411"/>
      <c r="R167" s="199" t="s">
        <v>97</v>
      </c>
      <c r="S167" s="113" t="s">
        <v>72</v>
      </c>
      <c r="T167" s="113" t="s">
        <v>134</v>
      </c>
      <c r="U167" s="132"/>
      <c r="V167" s="114" t="s">
        <v>74</v>
      </c>
      <c r="W167" s="105"/>
      <c r="X167" s="117"/>
      <c r="Y167" s="119"/>
      <c r="Z167" s="130"/>
      <c r="AA167" s="138"/>
      <c r="AB167" s="73"/>
    </row>
    <row r="168" spans="1:28" ht="15.75" thickBot="1" x14ac:dyDescent="0.3">
      <c r="A168" s="31">
        <v>74</v>
      </c>
      <c r="B168" s="193"/>
      <c r="C168" s="187" t="s">
        <v>97</v>
      </c>
      <c r="D168" s="104" t="s">
        <v>97</v>
      </c>
      <c r="E168" s="208" t="s">
        <v>97</v>
      </c>
      <c r="F168" s="91"/>
      <c r="G168" s="381" t="s">
        <v>97</v>
      </c>
      <c r="H168" s="382"/>
      <c r="I168" s="383"/>
      <c r="J168" s="105" t="s">
        <v>97</v>
      </c>
      <c r="K168" s="106" t="s">
        <v>97</v>
      </c>
      <c r="L168" s="119" t="s">
        <v>97</v>
      </c>
      <c r="M168" s="135" t="s">
        <v>97</v>
      </c>
      <c r="N168" s="123" t="s">
        <v>97</v>
      </c>
      <c r="O168" s="208"/>
      <c r="P168" s="410"/>
      <c r="Q168" s="411"/>
      <c r="R168" s="199" t="s">
        <v>97</v>
      </c>
      <c r="S168" s="113" t="s">
        <v>72</v>
      </c>
      <c r="T168" s="113" t="s">
        <v>134</v>
      </c>
      <c r="U168" s="132"/>
      <c r="V168" s="114" t="s">
        <v>74</v>
      </c>
      <c r="W168" s="105"/>
      <c r="X168" s="117"/>
      <c r="Y168" s="119"/>
      <c r="Z168" s="130"/>
      <c r="AA168" s="138"/>
      <c r="AB168" s="73"/>
    </row>
    <row r="169" spans="1:28" ht="15.75" thickBot="1" x14ac:dyDescent="0.3">
      <c r="A169" s="31">
        <v>75</v>
      </c>
      <c r="B169" s="193"/>
      <c r="C169" s="187" t="s">
        <v>97</v>
      </c>
      <c r="D169" s="104" t="s">
        <v>97</v>
      </c>
      <c r="E169" s="208" t="s">
        <v>97</v>
      </c>
      <c r="F169" s="91"/>
      <c r="G169" s="381" t="s">
        <v>97</v>
      </c>
      <c r="H169" s="382"/>
      <c r="I169" s="383"/>
      <c r="J169" s="105" t="s">
        <v>97</v>
      </c>
      <c r="K169" s="106" t="s">
        <v>97</v>
      </c>
      <c r="L169" s="119" t="s">
        <v>97</v>
      </c>
      <c r="M169" s="135" t="s">
        <v>97</v>
      </c>
      <c r="N169" s="123" t="s">
        <v>97</v>
      </c>
      <c r="O169" s="208"/>
      <c r="P169" s="410"/>
      <c r="Q169" s="411"/>
      <c r="R169" s="199" t="s">
        <v>97</v>
      </c>
      <c r="S169" s="113" t="s">
        <v>72</v>
      </c>
      <c r="T169" s="113" t="s">
        <v>134</v>
      </c>
      <c r="U169" s="132"/>
      <c r="V169" s="114" t="s">
        <v>74</v>
      </c>
      <c r="W169" s="105"/>
      <c r="X169" s="117"/>
      <c r="Y169" s="119"/>
      <c r="Z169" s="130"/>
      <c r="AA169" s="138"/>
      <c r="AB169" s="73"/>
    </row>
    <row r="170" spans="1:28" ht="15.75" thickBot="1" x14ac:dyDescent="0.3">
      <c r="A170" s="31">
        <v>76</v>
      </c>
      <c r="B170" s="193"/>
      <c r="C170" s="187" t="s">
        <v>97</v>
      </c>
      <c r="D170" s="104" t="s">
        <v>97</v>
      </c>
      <c r="E170" s="208" t="s">
        <v>97</v>
      </c>
      <c r="F170" s="91"/>
      <c r="G170" s="381" t="s">
        <v>97</v>
      </c>
      <c r="H170" s="382"/>
      <c r="I170" s="383"/>
      <c r="J170" s="105" t="s">
        <v>97</v>
      </c>
      <c r="K170" s="106" t="s">
        <v>97</v>
      </c>
      <c r="L170" s="119" t="s">
        <v>97</v>
      </c>
      <c r="M170" s="135" t="s">
        <v>97</v>
      </c>
      <c r="N170" s="123" t="s">
        <v>97</v>
      </c>
      <c r="O170" s="208"/>
      <c r="P170" s="410"/>
      <c r="Q170" s="411"/>
      <c r="R170" s="199" t="s">
        <v>97</v>
      </c>
      <c r="S170" s="113" t="s">
        <v>72</v>
      </c>
      <c r="T170" s="113" t="s">
        <v>134</v>
      </c>
      <c r="U170" s="132"/>
      <c r="V170" s="114" t="s">
        <v>74</v>
      </c>
      <c r="W170" s="105"/>
      <c r="X170" s="117"/>
      <c r="Y170" s="119"/>
      <c r="Z170" s="130"/>
      <c r="AA170" s="138"/>
      <c r="AB170" s="73"/>
    </row>
    <row r="171" spans="1:28" ht="15.75" thickBot="1" x14ac:dyDescent="0.3">
      <c r="A171" s="31">
        <v>77</v>
      </c>
      <c r="B171" s="193"/>
      <c r="C171" s="187" t="s">
        <v>97</v>
      </c>
      <c r="D171" s="104" t="s">
        <v>97</v>
      </c>
      <c r="E171" s="208" t="s">
        <v>97</v>
      </c>
      <c r="F171" s="91"/>
      <c r="G171" s="381" t="s">
        <v>97</v>
      </c>
      <c r="H171" s="382"/>
      <c r="I171" s="383"/>
      <c r="J171" s="105" t="s">
        <v>97</v>
      </c>
      <c r="K171" s="106" t="s">
        <v>97</v>
      </c>
      <c r="L171" s="119" t="s">
        <v>97</v>
      </c>
      <c r="M171" s="135" t="s">
        <v>97</v>
      </c>
      <c r="N171" s="123" t="s">
        <v>97</v>
      </c>
      <c r="O171" s="208"/>
      <c r="P171" s="410"/>
      <c r="Q171" s="411"/>
      <c r="R171" s="199" t="s">
        <v>97</v>
      </c>
      <c r="S171" s="113" t="s">
        <v>72</v>
      </c>
      <c r="T171" s="113" t="s">
        <v>134</v>
      </c>
      <c r="U171" s="132"/>
      <c r="V171" s="114" t="s">
        <v>74</v>
      </c>
      <c r="W171" s="105"/>
      <c r="X171" s="117"/>
      <c r="Y171" s="119"/>
      <c r="Z171" s="130"/>
      <c r="AA171" s="138"/>
      <c r="AB171" s="73"/>
    </row>
    <row r="172" spans="1:28" ht="15.75" thickBot="1" x14ac:dyDescent="0.3">
      <c r="A172" s="31">
        <v>78</v>
      </c>
      <c r="B172" s="193"/>
      <c r="C172" s="187" t="s">
        <v>97</v>
      </c>
      <c r="D172" s="104" t="s">
        <v>97</v>
      </c>
      <c r="E172" s="208" t="s">
        <v>97</v>
      </c>
      <c r="F172" s="91"/>
      <c r="G172" s="381" t="s">
        <v>97</v>
      </c>
      <c r="H172" s="382"/>
      <c r="I172" s="383"/>
      <c r="J172" s="105" t="s">
        <v>97</v>
      </c>
      <c r="K172" s="106" t="s">
        <v>97</v>
      </c>
      <c r="L172" s="119" t="s">
        <v>97</v>
      </c>
      <c r="M172" s="135" t="s">
        <v>97</v>
      </c>
      <c r="N172" s="123" t="s">
        <v>97</v>
      </c>
      <c r="O172" s="208"/>
      <c r="P172" s="410"/>
      <c r="Q172" s="411"/>
      <c r="R172" s="199" t="s">
        <v>97</v>
      </c>
      <c r="S172" s="113" t="s">
        <v>72</v>
      </c>
      <c r="T172" s="113" t="s">
        <v>134</v>
      </c>
      <c r="U172" s="132"/>
      <c r="V172" s="114" t="s">
        <v>74</v>
      </c>
      <c r="W172" s="105"/>
      <c r="X172" s="117"/>
      <c r="Y172" s="119"/>
      <c r="Z172" s="130"/>
      <c r="AA172" s="138"/>
      <c r="AB172" s="73"/>
    </row>
    <row r="173" spans="1:28" ht="15.75" thickBot="1" x14ac:dyDescent="0.3">
      <c r="A173" s="31">
        <v>79</v>
      </c>
      <c r="B173" s="193"/>
      <c r="C173" s="187" t="s">
        <v>97</v>
      </c>
      <c r="D173" s="104" t="s">
        <v>97</v>
      </c>
      <c r="E173" s="208" t="s">
        <v>97</v>
      </c>
      <c r="F173" s="91"/>
      <c r="G173" s="381" t="s">
        <v>97</v>
      </c>
      <c r="H173" s="382"/>
      <c r="I173" s="383"/>
      <c r="J173" s="105" t="s">
        <v>97</v>
      </c>
      <c r="K173" s="106" t="s">
        <v>97</v>
      </c>
      <c r="L173" s="119" t="s">
        <v>97</v>
      </c>
      <c r="M173" s="135" t="s">
        <v>97</v>
      </c>
      <c r="N173" s="123" t="s">
        <v>97</v>
      </c>
      <c r="O173" s="208"/>
      <c r="P173" s="410"/>
      <c r="Q173" s="411"/>
      <c r="R173" s="199" t="s">
        <v>97</v>
      </c>
      <c r="S173" s="113" t="s">
        <v>72</v>
      </c>
      <c r="T173" s="113" t="s">
        <v>134</v>
      </c>
      <c r="U173" s="132"/>
      <c r="V173" s="114" t="s">
        <v>74</v>
      </c>
      <c r="W173" s="105"/>
      <c r="X173" s="117"/>
      <c r="Y173" s="119"/>
      <c r="Z173" s="130"/>
      <c r="AA173" s="138"/>
      <c r="AB173" s="73"/>
    </row>
    <row r="174" spans="1:28" ht="15.75" thickBot="1" x14ac:dyDescent="0.3">
      <c r="A174" s="143">
        <v>80</v>
      </c>
      <c r="B174" s="194"/>
      <c r="C174" s="187" t="s">
        <v>97</v>
      </c>
      <c r="D174" s="104" t="s">
        <v>97</v>
      </c>
      <c r="E174" s="208" t="s">
        <v>97</v>
      </c>
      <c r="F174" s="91"/>
      <c r="G174" s="381" t="s">
        <v>97</v>
      </c>
      <c r="H174" s="382"/>
      <c r="I174" s="383"/>
      <c r="J174" s="105" t="s">
        <v>97</v>
      </c>
      <c r="K174" s="106" t="s">
        <v>97</v>
      </c>
      <c r="L174" s="119" t="s">
        <v>97</v>
      </c>
      <c r="M174" s="135" t="s">
        <v>97</v>
      </c>
      <c r="N174" s="123" t="s">
        <v>97</v>
      </c>
      <c r="O174" s="208"/>
      <c r="P174" s="410"/>
      <c r="Q174" s="411"/>
      <c r="R174" s="199" t="s">
        <v>97</v>
      </c>
      <c r="S174" s="113" t="s">
        <v>72</v>
      </c>
      <c r="T174" s="113" t="s">
        <v>134</v>
      </c>
      <c r="U174" s="132"/>
      <c r="V174" s="114" t="s">
        <v>74</v>
      </c>
      <c r="W174" s="105"/>
      <c r="X174" s="117"/>
      <c r="Y174" s="119"/>
      <c r="Z174" s="130"/>
      <c r="AA174" s="138"/>
      <c r="AB174" s="73"/>
    </row>
    <row r="175" spans="1:28" ht="15.75" thickBot="1" x14ac:dyDescent="0.3">
      <c r="A175" s="31">
        <v>81</v>
      </c>
      <c r="B175" s="193"/>
      <c r="C175" s="187" t="s">
        <v>97</v>
      </c>
      <c r="D175" s="104" t="s">
        <v>97</v>
      </c>
      <c r="E175" s="208" t="s">
        <v>97</v>
      </c>
      <c r="F175" s="91"/>
      <c r="G175" s="381" t="s">
        <v>97</v>
      </c>
      <c r="H175" s="382"/>
      <c r="I175" s="383"/>
      <c r="J175" s="105" t="s">
        <v>97</v>
      </c>
      <c r="K175" s="106" t="s">
        <v>97</v>
      </c>
      <c r="L175" s="119" t="s">
        <v>97</v>
      </c>
      <c r="M175" s="135" t="s">
        <v>97</v>
      </c>
      <c r="N175" s="123" t="s">
        <v>97</v>
      </c>
      <c r="O175" s="208"/>
      <c r="P175" s="410"/>
      <c r="Q175" s="411"/>
      <c r="R175" s="199" t="s">
        <v>97</v>
      </c>
      <c r="S175" s="113" t="s">
        <v>72</v>
      </c>
      <c r="T175" s="113" t="s">
        <v>134</v>
      </c>
      <c r="U175" s="132"/>
      <c r="V175" s="114" t="s">
        <v>74</v>
      </c>
      <c r="W175" s="105"/>
      <c r="X175" s="117"/>
      <c r="Y175" s="119"/>
      <c r="Z175" s="130"/>
      <c r="AA175" s="138"/>
      <c r="AB175" s="73"/>
    </row>
    <row r="176" spans="1:28" ht="15.75" thickBot="1" x14ac:dyDescent="0.3">
      <c r="A176" s="31">
        <v>82</v>
      </c>
      <c r="B176" s="193"/>
      <c r="C176" s="187" t="s">
        <v>97</v>
      </c>
      <c r="D176" s="104" t="s">
        <v>97</v>
      </c>
      <c r="E176" s="208" t="s">
        <v>97</v>
      </c>
      <c r="F176" s="91"/>
      <c r="G176" s="381" t="s">
        <v>97</v>
      </c>
      <c r="H176" s="382"/>
      <c r="I176" s="383"/>
      <c r="J176" s="105" t="s">
        <v>97</v>
      </c>
      <c r="K176" s="106" t="s">
        <v>97</v>
      </c>
      <c r="L176" s="119" t="s">
        <v>97</v>
      </c>
      <c r="M176" s="135" t="s">
        <v>97</v>
      </c>
      <c r="N176" s="123" t="s">
        <v>97</v>
      </c>
      <c r="O176" s="208"/>
      <c r="P176" s="410"/>
      <c r="Q176" s="411"/>
      <c r="R176" s="199" t="s">
        <v>97</v>
      </c>
      <c r="S176" s="113" t="s">
        <v>72</v>
      </c>
      <c r="T176" s="113" t="s">
        <v>134</v>
      </c>
      <c r="U176" s="132"/>
      <c r="V176" s="114" t="s">
        <v>74</v>
      </c>
      <c r="W176" s="105"/>
      <c r="X176" s="117"/>
      <c r="Y176" s="119"/>
      <c r="Z176" s="130"/>
      <c r="AA176" s="138"/>
      <c r="AB176" s="73"/>
    </row>
    <row r="177" spans="1:28" ht="15.75" thickBot="1" x14ac:dyDescent="0.3">
      <c r="A177" s="31">
        <v>83</v>
      </c>
      <c r="B177" s="193"/>
      <c r="C177" s="187" t="s">
        <v>97</v>
      </c>
      <c r="D177" s="104" t="s">
        <v>97</v>
      </c>
      <c r="E177" s="208" t="s">
        <v>97</v>
      </c>
      <c r="F177" s="91"/>
      <c r="G177" s="381" t="s">
        <v>97</v>
      </c>
      <c r="H177" s="382"/>
      <c r="I177" s="383"/>
      <c r="J177" s="105" t="s">
        <v>97</v>
      </c>
      <c r="K177" s="106" t="s">
        <v>97</v>
      </c>
      <c r="L177" s="119" t="s">
        <v>97</v>
      </c>
      <c r="M177" s="135" t="s">
        <v>97</v>
      </c>
      <c r="N177" s="123" t="s">
        <v>97</v>
      </c>
      <c r="O177" s="208"/>
      <c r="P177" s="410"/>
      <c r="Q177" s="411"/>
      <c r="R177" s="199" t="s">
        <v>97</v>
      </c>
      <c r="S177" s="113" t="s">
        <v>72</v>
      </c>
      <c r="T177" s="113" t="s">
        <v>134</v>
      </c>
      <c r="U177" s="132"/>
      <c r="V177" s="114" t="s">
        <v>74</v>
      </c>
      <c r="W177" s="105"/>
      <c r="X177" s="117"/>
      <c r="Y177" s="119"/>
      <c r="Z177" s="130"/>
      <c r="AA177" s="138"/>
      <c r="AB177" s="73"/>
    </row>
    <row r="178" spans="1:28" ht="15.75" thickBot="1" x14ac:dyDescent="0.3">
      <c r="A178" s="31">
        <v>84</v>
      </c>
      <c r="B178" s="193"/>
      <c r="C178" s="187" t="s">
        <v>97</v>
      </c>
      <c r="D178" s="104" t="s">
        <v>97</v>
      </c>
      <c r="E178" s="208" t="s">
        <v>97</v>
      </c>
      <c r="F178" s="91"/>
      <c r="G178" s="381" t="s">
        <v>97</v>
      </c>
      <c r="H178" s="382"/>
      <c r="I178" s="383"/>
      <c r="J178" s="105" t="s">
        <v>97</v>
      </c>
      <c r="K178" s="106" t="s">
        <v>97</v>
      </c>
      <c r="L178" s="119" t="s">
        <v>97</v>
      </c>
      <c r="M178" s="135" t="s">
        <v>97</v>
      </c>
      <c r="N178" s="123" t="s">
        <v>97</v>
      </c>
      <c r="O178" s="208"/>
      <c r="P178" s="410"/>
      <c r="Q178" s="411"/>
      <c r="R178" s="199" t="s">
        <v>97</v>
      </c>
      <c r="S178" s="113" t="s">
        <v>72</v>
      </c>
      <c r="T178" s="113" t="s">
        <v>134</v>
      </c>
      <c r="U178" s="132"/>
      <c r="V178" s="114" t="s">
        <v>74</v>
      </c>
      <c r="W178" s="105"/>
      <c r="X178" s="117"/>
      <c r="Y178" s="119"/>
      <c r="Z178" s="130"/>
      <c r="AA178" s="138"/>
      <c r="AB178" s="73"/>
    </row>
    <row r="179" spans="1:28" ht="15.75" thickBot="1" x14ac:dyDescent="0.3">
      <c r="A179" s="31">
        <v>85</v>
      </c>
      <c r="B179" s="193"/>
      <c r="C179" s="187" t="s">
        <v>97</v>
      </c>
      <c r="D179" s="104" t="s">
        <v>97</v>
      </c>
      <c r="E179" s="208" t="s">
        <v>97</v>
      </c>
      <c r="F179" s="91"/>
      <c r="G179" s="381" t="s">
        <v>97</v>
      </c>
      <c r="H179" s="382"/>
      <c r="I179" s="383"/>
      <c r="J179" s="105" t="s">
        <v>97</v>
      </c>
      <c r="K179" s="106" t="s">
        <v>97</v>
      </c>
      <c r="L179" s="119" t="s">
        <v>97</v>
      </c>
      <c r="M179" s="135" t="s">
        <v>97</v>
      </c>
      <c r="N179" s="123" t="s">
        <v>97</v>
      </c>
      <c r="O179" s="208"/>
      <c r="P179" s="410"/>
      <c r="Q179" s="411"/>
      <c r="R179" s="199" t="s">
        <v>97</v>
      </c>
      <c r="S179" s="113" t="s">
        <v>72</v>
      </c>
      <c r="T179" s="113" t="s">
        <v>134</v>
      </c>
      <c r="U179" s="132"/>
      <c r="V179" s="114" t="s">
        <v>74</v>
      </c>
      <c r="W179" s="105"/>
      <c r="X179" s="117"/>
      <c r="Y179" s="119"/>
      <c r="Z179" s="130"/>
      <c r="AA179" s="138"/>
      <c r="AB179" s="73"/>
    </row>
    <row r="180" spans="1:28" ht="15.75" thickBot="1" x14ac:dyDescent="0.3">
      <c r="A180" s="31">
        <v>86</v>
      </c>
      <c r="B180" s="193"/>
      <c r="C180" s="187" t="s">
        <v>97</v>
      </c>
      <c r="D180" s="104" t="s">
        <v>97</v>
      </c>
      <c r="E180" s="208" t="s">
        <v>97</v>
      </c>
      <c r="F180" s="91"/>
      <c r="G180" s="381" t="s">
        <v>97</v>
      </c>
      <c r="H180" s="382"/>
      <c r="I180" s="383"/>
      <c r="J180" s="105" t="s">
        <v>97</v>
      </c>
      <c r="K180" s="106" t="s">
        <v>97</v>
      </c>
      <c r="L180" s="119" t="s">
        <v>97</v>
      </c>
      <c r="M180" s="135" t="s">
        <v>97</v>
      </c>
      <c r="N180" s="123" t="s">
        <v>97</v>
      </c>
      <c r="O180" s="208"/>
      <c r="P180" s="410"/>
      <c r="Q180" s="411"/>
      <c r="R180" s="199" t="s">
        <v>97</v>
      </c>
      <c r="S180" s="113" t="s">
        <v>72</v>
      </c>
      <c r="T180" s="113" t="s">
        <v>134</v>
      </c>
      <c r="U180" s="132"/>
      <c r="V180" s="114" t="s">
        <v>74</v>
      </c>
      <c r="W180" s="105"/>
      <c r="X180" s="117"/>
      <c r="Y180" s="119"/>
      <c r="Z180" s="130"/>
      <c r="AA180" s="138"/>
      <c r="AB180" s="73"/>
    </row>
    <row r="181" spans="1:28" ht="15.75" thickBot="1" x14ac:dyDescent="0.3">
      <c r="A181" s="31">
        <v>87</v>
      </c>
      <c r="B181" s="193"/>
      <c r="C181" s="187" t="s">
        <v>97</v>
      </c>
      <c r="D181" s="104" t="s">
        <v>97</v>
      </c>
      <c r="E181" s="208" t="s">
        <v>97</v>
      </c>
      <c r="F181" s="91"/>
      <c r="G181" s="381" t="s">
        <v>97</v>
      </c>
      <c r="H181" s="382"/>
      <c r="I181" s="383"/>
      <c r="J181" s="105" t="s">
        <v>97</v>
      </c>
      <c r="K181" s="106" t="s">
        <v>97</v>
      </c>
      <c r="L181" s="119" t="s">
        <v>97</v>
      </c>
      <c r="M181" s="135" t="s">
        <v>97</v>
      </c>
      <c r="N181" s="123" t="s">
        <v>97</v>
      </c>
      <c r="O181" s="208"/>
      <c r="P181" s="410"/>
      <c r="Q181" s="411"/>
      <c r="R181" s="199" t="s">
        <v>97</v>
      </c>
      <c r="S181" s="113" t="s">
        <v>72</v>
      </c>
      <c r="T181" s="113" t="s">
        <v>134</v>
      </c>
      <c r="U181" s="132"/>
      <c r="V181" s="114" t="s">
        <v>74</v>
      </c>
      <c r="W181" s="105"/>
      <c r="X181" s="117"/>
      <c r="Y181" s="119"/>
      <c r="Z181" s="130"/>
      <c r="AA181" s="138"/>
      <c r="AB181" s="177"/>
    </row>
    <row r="182" spans="1:28" ht="15.75" thickBot="1" x14ac:dyDescent="0.3">
      <c r="A182" s="31">
        <v>88</v>
      </c>
      <c r="B182" s="193"/>
      <c r="C182" s="187" t="s">
        <v>97</v>
      </c>
      <c r="D182" s="104" t="s">
        <v>97</v>
      </c>
      <c r="E182" s="208" t="s">
        <v>97</v>
      </c>
      <c r="F182" s="91"/>
      <c r="G182" s="381" t="s">
        <v>97</v>
      </c>
      <c r="H182" s="382"/>
      <c r="I182" s="383"/>
      <c r="J182" s="105" t="s">
        <v>97</v>
      </c>
      <c r="K182" s="106" t="s">
        <v>97</v>
      </c>
      <c r="L182" s="119" t="s">
        <v>97</v>
      </c>
      <c r="M182" s="135" t="s">
        <v>97</v>
      </c>
      <c r="N182" s="123" t="s">
        <v>97</v>
      </c>
      <c r="O182" s="208"/>
      <c r="P182" s="410"/>
      <c r="Q182" s="411"/>
      <c r="R182" s="199" t="s">
        <v>97</v>
      </c>
      <c r="S182" s="113" t="s">
        <v>72</v>
      </c>
      <c r="T182" s="113" t="s">
        <v>134</v>
      </c>
      <c r="U182" s="132"/>
      <c r="V182" s="114" t="s">
        <v>74</v>
      </c>
      <c r="W182" s="105"/>
      <c r="X182" s="117"/>
      <c r="Y182" s="119"/>
      <c r="Z182" s="130"/>
      <c r="AA182" s="138"/>
      <c r="AB182" s="177"/>
    </row>
    <row r="183" spans="1:28" ht="15.75" thickBot="1" x14ac:dyDescent="0.3">
      <c r="A183" s="31">
        <v>89</v>
      </c>
      <c r="B183" s="193"/>
      <c r="C183" s="187" t="s">
        <v>97</v>
      </c>
      <c r="D183" s="104" t="s">
        <v>97</v>
      </c>
      <c r="E183" s="208" t="s">
        <v>97</v>
      </c>
      <c r="F183" s="91"/>
      <c r="G183" s="381" t="s">
        <v>97</v>
      </c>
      <c r="H183" s="382"/>
      <c r="I183" s="383"/>
      <c r="J183" s="105" t="s">
        <v>97</v>
      </c>
      <c r="K183" s="106" t="s">
        <v>97</v>
      </c>
      <c r="L183" s="119" t="s">
        <v>97</v>
      </c>
      <c r="M183" s="135" t="s">
        <v>97</v>
      </c>
      <c r="N183" s="123" t="s">
        <v>97</v>
      </c>
      <c r="O183" s="208"/>
      <c r="P183" s="410"/>
      <c r="Q183" s="411"/>
      <c r="R183" s="199" t="s">
        <v>97</v>
      </c>
      <c r="S183" s="113" t="s">
        <v>72</v>
      </c>
      <c r="T183" s="113" t="s">
        <v>134</v>
      </c>
      <c r="U183" s="132"/>
      <c r="V183" s="114" t="s">
        <v>74</v>
      </c>
      <c r="W183" s="105"/>
      <c r="X183" s="117"/>
      <c r="Y183" s="119"/>
      <c r="Z183" s="130"/>
      <c r="AA183" s="138"/>
      <c r="AB183" s="177"/>
    </row>
    <row r="184" spans="1:28" ht="15.75" thickBot="1" x14ac:dyDescent="0.3">
      <c r="A184" s="31">
        <v>90</v>
      </c>
      <c r="B184" s="193"/>
      <c r="C184" s="187" t="s">
        <v>97</v>
      </c>
      <c r="D184" s="104" t="s">
        <v>97</v>
      </c>
      <c r="E184" s="208" t="s">
        <v>97</v>
      </c>
      <c r="F184" s="91"/>
      <c r="G184" s="381" t="s">
        <v>97</v>
      </c>
      <c r="H184" s="382"/>
      <c r="I184" s="383"/>
      <c r="J184" s="105" t="s">
        <v>97</v>
      </c>
      <c r="K184" s="106" t="s">
        <v>97</v>
      </c>
      <c r="L184" s="119" t="s">
        <v>97</v>
      </c>
      <c r="M184" s="135" t="s">
        <v>97</v>
      </c>
      <c r="N184" s="123" t="s">
        <v>97</v>
      </c>
      <c r="O184" s="208"/>
      <c r="P184" s="410"/>
      <c r="Q184" s="411"/>
      <c r="R184" s="199" t="s">
        <v>97</v>
      </c>
      <c r="S184" s="113" t="s">
        <v>72</v>
      </c>
      <c r="T184" s="113" t="s">
        <v>134</v>
      </c>
      <c r="U184" s="132"/>
      <c r="V184" s="114" t="s">
        <v>74</v>
      </c>
      <c r="W184" s="105"/>
      <c r="X184" s="117"/>
      <c r="Y184" s="119"/>
      <c r="Z184" s="130"/>
      <c r="AA184" s="138"/>
      <c r="AB184" s="177"/>
    </row>
    <row r="185" spans="1:28" ht="15.75" thickBot="1" x14ac:dyDescent="0.3">
      <c r="A185" s="31">
        <v>91</v>
      </c>
      <c r="B185" s="193"/>
      <c r="C185" s="187" t="s">
        <v>97</v>
      </c>
      <c r="D185" s="104" t="s">
        <v>97</v>
      </c>
      <c r="E185" s="208" t="s">
        <v>97</v>
      </c>
      <c r="F185" s="91"/>
      <c r="G185" s="381" t="s">
        <v>97</v>
      </c>
      <c r="H185" s="382"/>
      <c r="I185" s="383"/>
      <c r="J185" s="105" t="s">
        <v>97</v>
      </c>
      <c r="K185" s="106" t="s">
        <v>97</v>
      </c>
      <c r="L185" s="119" t="s">
        <v>97</v>
      </c>
      <c r="M185" s="135" t="s">
        <v>97</v>
      </c>
      <c r="N185" s="123" t="s">
        <v>97</v>
      </c>
      <c r="O185" s="208"/>
      <c r="P185" s="410"/>
      <c r="Q185" s="411"/>
      <c r="R185" s="199" t="s">
        <v>97</v>
      </c>
      <c r="S185" s="113" t="s">
        <v>72</v>
      </c>
      <c r="T185" s="113" t="s">
        <v>134</v>
      </c>
      <c r="U185" s="132"/>
      <c r="V185" s="114" t="s">
        <v>74</v>
      </c>
      <c r="W185" s="105"/>
      <c r="X185" s="117"/>
      <c r="Y185" s="119"/>
      <c r="Z185" s="130"/>
      <c r="AA185" s="138"/>
      <c r="AB185" s="177"/>
    </row>
    <row r="186" spans="1:28" ht="15.75" thickBot="1" x14ac:dyDescent="0.3">
      <c r="A186" s="31">
        <v>92</v>
      </c>
      <c r="B186" s="193"/>
      <c r="C186" s="187" t="s">
        <v>97</v>
      </c>
      <c r="D186" s="104" t="s">
        <v>97</v>
      </c>
      <c r="E186" s="208" t="s">
        <v>97</v>
      </c>
      <c r="F186" s="91"/>
      <c r="G186" s="381" t="s">
        <v>97</v>
      </c>
      <c r="H186" s="382"/>
      <c r="I186" s="383"/>
      <c r="J186" s="105" t="s">
        <v>97</v>
      </c>
      <c r="K186" s="106" t="s">
        <v>97</v>
      </c>
      <c r="L186" s="119" t="s">
        <v>97</v>
      </c>
      <c r="M186" s="135" t="s">
        <v>97</v>
      </c>
      <c r="N186" s="123" t="s">
        <v>97</v>
      </c>
      <c r="O186" s="208"/>
      <c r="P186" s="410"/>
      <c r="Q186" s="411"/>
      <c r="R186" s="199" t="s">
        <v>97</v>
      </c>
      <c r="S186" s="113" t="s">
        <v>72</v>
      </c>
      <c r="T186" s="113" t="s">
        <v>134</v>
      </c>
      <c r="U186" s="132"/>
      <c r="V186" s="114" t="s">
        <v>74</v>
      </c>
      <c r="W186" s="105"/>
      <c r="X186" s="117"/>
      <c r="Y186" s="119"/>
      <c r="Z186" s="130"/>
      <c r="AA186" s="138"/>
      <c r="AB186" s="177"/>
    </row>
    <row r="187" spans="1:28" ht="15.75" thickBot="1" x14ac:dyDescent="0.3">
      <c r="A187" s="31">
        <v>93</v>
      </c>
      <c r="B187" s="193"/>
      <c r="C187" s="187" t="s">
        <v>97</v>
      </c>
      <c r="D187" s="104" t="s">
        <v>97</v>
      </c>
      <c r="E187" s="208" t="s">
        <v>97</v>
      </c>
      <c r="F187" s="91"/>
      <c r="G187" s="381" t="s">
        <v>97</v>
      </c>
      <c r="H187" s="382"/>
      <c r="I187" s="383"/>
      <c r="J187" s="105" t="s">
        <v>97</v>
      </c>
      <c r="K187" s="106" t="s">
        <v>97</v>
      </c>
      <c r="L187" s="119" t="s">
        <v>97</v>
      </c>
      <c r="M187" s="135" t="s">
        <v>97</v>
      </c>
      <c r="N187" s="123" t="s">
        <v>97</v>
      </c>
      <c r="O187" s="208"/>
      <c r="P187" s="410"/>
      <c r="Q187" s="411"/>
      <c r="R187" s="199" t="s">
        <v>97</v>
      </c>
      <c r="S187" s="113" t="s">
        <v>72</v>
      </c>
      <c r="T187" s="113" t="s">
        <v>134</v>
      </c>
      <c r="U187" s="132"/>
      <c r="V187" s="114" t="s">
        <v>74</v>
      </c>
      <c r="W187" s="105"/>
      <c r="X187" s="117"/>
      <c r="Y187" s="119"/>
      <c r="Z187" s="130"/>
      <c r="AA187" s="138"/>
      <c r="AB187" s="177"/>
    </row>
    <row r="188" spans="1:28" ht="15.75" thickBot="1" x14ac:dyDescent="0.3">
      <c r="A188" s="31">
        <v>94</v>
      </c>
      <c r="B188" s="193"/>
      <c r="C188" s="187" t="s">
        <v>97</v>
      </c>
      <c r="D188" s="104" t="s">
        <v>97</v>
      </c>
      <c r="E188" s="208" t="s">
        <v>97</v>
      </c>
      <c r="F188" s="91"/>
      <c r="G188" s="381" t="s">
        <v>97</v>
      </c>
      <c r="H188" s="382"/>
      <c r="I188" s="383"/>
      <c r="J188" s="105" t="s">
        <v>97</v>
      </c>
      <c r="K188" s="106" t="s">
        <v>97</v>
      </c>
      <c r="L188" s="119" t="s">
        <v>97</v>
      </c>
      <c r="M188" s="135" t="s">
        <v>97</v>
      </c>
      <c r="N188" s="123" t="s">
        <v>97</v>
      </c>
      <c r="O188" s="208"/>
      <c r="P188" s="410"/>
      <c r="Q188" s="411"/>
      <c r="R188" s="199" t="s">
        <v>97</v>
      </c>
      <c r="S188" s="113" t="s">
        <v>72</v>
      </c>
      <c r="T188" s="113" t="s">
        <v>134</v>
      </c>
      <c r="U188" s="132"/>
      <c r="V188" s="114" t="s">
        <v>74</v>
      </c>
      <c r="W188" s="105"/>
      <c r="X188" s="117"/>
      <c r="Y188" s="119"/>
      <c r="Z188" s="130"/>
      <c r="AA188" s="138"/>
      <c r="AB188" s="177"/>
    </row>
    <row r="189" spans="1:28" ht="15.75" thickBot="1" x14ac:dyDescent="0.3">
      <c r="A189" s="31">
        <v>95</v>
      </c>
      <c r="B189" s="193"/>
      <c r="C189" s="187" t="s">
        <v>97</v>
      </c>
      <c r="D189" s="104" t="s">
        <v>97</v>
      </c>
      <c r="E189" s="208" t="s">
        <v>97</v>
      </c>
      <c r="F189" s="91"/>
      <c r="G189" s="381" t="s">
        <v>97</v>
      </c>
      <c r="H189" s="382"/>
      <c r="I189" s="383"/>
      <c r="J189" s="105" t="s">
        <v>97</v>
      </c>
      <c r="K189" s="106" t="s">
        <v>97</v>
      </c>
      <c r="L189" s="119" t="s">
        <v>97</v>
      </c>
      <c r="M189" s="135" t="s">
        <v>97</v>
      </c>
      <c r="N189" s="123" t="s">
        <v>97</v>
      </c>
      <c r="O189" s="208"/>
      <c r="P189" s="410"/>
      <c r="Q189" s="411"/>
      <c r="R189" s="199" t="s">
        <v>97</v>
      </c>
      <c r="S189" s="113" t="s">
        <v>72</v>
      </c>
      <c r="T189" s="113" t="s">
        <v>134</v>
      </c>
      <c r="U189" s="132"/>
      <c r="V189" s="114" t="s">
        <v>74</v>
      </c>
      <c r="W189" s="105"/>
      <c r="X189" s="117"/>
      <c r="Y189" s="119"/>
      <c r="Z189" s="130"/>
      <c r="AA189" s="138"/>
      <c r="AB189" s="177"/>
    </row>
    <row r="190" spans="1:28" ht="15.75" thickBot="1" x14ac:dyDescent="0.3">
      <c r="A190" s="31">
        <v>96</v>
      </c>
      <c r="B190" s="193"/>
      <c r="C190" s="187" t="s">
        <v>97</v>
      </c>
      <c r="D190" s="104" t="s">
        <v>97</v>
      </c>
      <c r="E190" s="208" t="s">
        <v>97</v>
      </c>
      <c r="F190" s="91"/>
      <c r="G190" s="381" t="s">
        <v>97</v>
      </c>
      <c r="H190" s="382"/>
      <c r="I190" s="383"/>
      <c r="J190" s="105" t="s">
        <v>97</v>
      </c>
      <c r="K190" s="106" t="s">
        <v>97</v>
      </c>
      <c r="L190" s="119" t="s">
        <v>97</v>
      </c>
      <c r="M190" s="135" t="s">
        <v>97</v>
      </c>
      <c r="N190" s="123" t="s">
        <v>97</v>
      </c>
      <c r="O190" s="208"/>
      <c r="P190" s="410"/>
      <c r="Q190" s="411"/>
      <c r="R190" s="199" t="s">
        <v>97</v>
      </c>
      <c r="S190" s="113" t="s">
        <v>72</v>
      </c>
      <c r="T190" s="113" t="s">
        <v>134</v>
      </c>
      <c r="U190" s="132"/>
      <c r="V190" s="114" t="s">
        <v>74</v>
      </c>
      <c r="W190" s="105"/>
      <c r="X190" s="117"/>
      <c r="Y190" s="119"/>
      <c r="Z190" s="130"/>
      <c r="AA190" s="138"/>
      <c r="AB190" s="177"/>
    </row>
    <row r="191" spans="1:28" ht="15.75" thickBot="1" x14ac:dyDescent="0.3">
      <c r="A191" s="31">
        <v>97</v>
      </c>
      <c r="B191" s="193"/>
      <c r="C191" s="187" t="s">
        <v>97</v>
      </c>
      <c r="D191" s="104" t="s">
        <v>97</v>
      </c>
      <c r="E191" s="208" t="s">
        <v>97</v>
      </c>
      <c r="F191" s="91"/>
      <c r="G191" s="381" t="s">
        <v>97</v>
      </c>
      <c r="H191" s="382"/>
      <c r="I191" s="383"/>
      <c r="J191" s="105" t="s">
        <v>97</v>
      </c>
      <c r="K191" s="106" t="s">
        <v>97</v>
      </c>
      <c r="L191" s="119" t="s">
        <v>97</v>
      </c>
      <c r="M191" s="135" t="s">
        <v>97</v>
      </c>
      <c r="N191" s="123" t="s">
        <v>97</v>
      </c>
      <c r="O191" s="208"/>
      <c r="P191" s="410"/>
      <c r="Q191" s="411"/>
      <c r="R191" s="199" t="s">
        <v>97</v>
      </c>
      <c r="S191" s="113" t="s">
        <v>72</v>
      </c>
      <c r="T191" s="113" t="s">
        <v>134</v>
      </c>
      <c r="U191" s="132"/>
      <c r="V191" s="114" t="s">
        <v>74</v>
      </c>
      <c r="W191" s="105"/>
      <c r="X191" s="117"/>
      <c r="Y191" s="119"/>
      <c r="Z191" s="130"/>
      <c r="AA191" s="138"/>
      <c r="AB191" s="177"/>
    </row>
    <row r="192" spans="1:28" ht="15.75" thickBot="1" x14ac:dyDescent="0.3">
      <c r="A192" s="31">
        <v>98</v>
      </c>
      <c r="B192" s="193"/>
      <c r="C192" s="187" t="s">
        <v>97</v>
      </c>
      <c r="D192" s="104" t="s">
        <v>97</v>
      </c>
      <c r="E192" s="208" t="s">
        <v>97</v>
      </c>
      <c r="F192" s="91"/>
      <c r="G192" s="381" t="s">
        <v>97</v>
      </c>
      <c r="H192" s="382"/>
      <c r="I192" s="383"/>
      <c r="J192" s="105" t="s">
        <v>97</v>
      </c>
      <c r="K192" s="106" t="s">
        <v>97</v>
      </c>
      <c r="L192" s="119" t="s">
        <v>97</v>
      </c>
      <c r="M192" s="135" t="s">
        <v>97</v>
      </c>
      <c r="N192" s="123" t="s">
        <v>97</v>
      </c>
      <c r="O192" s="208"/>
      <c r="P192" s="410"/>
      <c r="Q192" s="411"/>
      <c r="R192" s="199" t="s">
        <v>97</v>
      </c>
      <c r="S192" s="113" t="s">
        <v>72</v>
      </c>
      <c r="T192" s="113" t="s">
        <v>134</v>
      </c>
      <c r="U192" s="132"/>
      <c r="V192" s="114" t="s">
        <v>74</v>
      </c>
      <c r="W192" s="105"/>
      <c r="X192" s="117"/>
      <c r="Y192" s="119"/>
      <c r="Z192" s="130"/>
      <c r="AA192" s="138"/>
      <c r="AB192" s="177"/>
    </row>
    <row r="193" spans="1:28" ht="15.75" thickBot="1" x14ac:dyDescent="0.3">
      <c r="A193" s="31">
        <v>99</v>
      </c>
      <c r="B193" s="193"/>
      <c r="C193" s="187" t="s">
        <v>97</v>
      </c>
      <c r="D193" s="104" t="s">
        <v>97</v>
      </c>
      <c r="E193" s="208" t="s">
        <v>97</v>
      </c>
      <c r="F193" s="91"/>
      <c r="G193" s="381" t="s">
        <v>97</v>
      </c>
      <c r="H193" s="382"/>
      <c r="I193" s="383"/>
      <c r="J193" s="105" t="s">
        <v>97</v>
      </c>
      <c r="K193" s="106" t="s">
        <v>97</v>
      </c>
      <c r="L193" s="119" t="s">
        <v>97</v>
      </c>
      <c r="M193" s="135" t="s">
        <v>97</v>
      </c>
      <c r="N193" s="123" t="s">
        <v>97</v>
      </c>
      <c r="O193" s="208"/>
      <c r="P193" s="410"/>
      <c r="Q193" s="411"/>
      <c r="R193" s="199" t="s">
        <v>97</v>
      </c>
      <c r="S193" s="113" t="s">
        <v>72</v>
      </c>
      <c r="T193" s="113" t="s">
        <v>134</v>
      </c>
      <c r="U193" s="132"/>
      <c r="V193" s="114" t="s">
        <v>74</v>
      </c>
      <c r="W193" s="105"/>
      <c r="X193" s="117"/>
      <c r="Y193" s="119"/>
      <c r="Z193" s="130"/>
      <c r="AA193" s="138"/>
      <c r="AB193" s="177"/>
    </row>
    <row r="194" spans="1:28" ht="15.75" thickBot="1" x14ac:dyDescent="0.3">
      <c r="A194" s="31">
        <v>100</v>
      </c>
      <c r="B194" s="193"/>
      <c r="C194" s="187" t="s">
        <v>97</v>
      </c>
      <c r="D194" s="104" t="s">
        <v>97</v>
      </c>
      <c r="E194" s="208" t="s">
        <v>97</v>
      </c>
      <c r="F194" s="91"/>
      <c r="G194" s="381" t="s">
        <v>97</v>
      </c>
      <c r="H194" s="382"/>
      <c r="I194" s="383"/>
      <c r="J194" s="105" t="s">
        <v>97</v>
      </c>
      <c r="K194" s="106" t="s">
        <v>97</v>
      </c>
      <c r="L194" s="119" t="s">
        <v>97</v>
      </c>
      <c r="M194" s="135" t="s">
        <v>97</v>
      </c>
      <c r="N194" s="123" t="s">
        <v>97</v>
      </c>
      <c r="O194" s="208"/>
      <c r="P194" s="410"/>
      <c r="Q194" s="411"/>
      <c r="R194" s="199" t="s">
        <v>97</v>
      </c>
      <c r="S194" s="113" t="s">
        <v>72</v>
      </c>
      <c r="T194" s="113" t="s">
        <v>134</v>
      </c>
      <c r="U194" s="132"/>
      <c r="V194" s="114" t="s">
        <v>74</v>
      </c>
      <c r="W194" s="105"/>
      <c r="X194" s="117"/>
      <c r="Y194" s="119"/>
      <c r="Z194" s="130"/>
      <c r="AA194" s="138"/>
      <c r="AB194" s="177"/>
    </row>
    <row r="195" spans="1:28" ht="15.75" thickBot="1" x14ac:dyDescent="0.3">
      <c r="A195" s="31">
        <v>101</v>
      </c>
      <c r="B195" s="193"/>
      <c r="C195" s="187" t="s">
        <v>97</v>
      </c>
      <c r="D195" s="104" t="s">
        <v>97</v>
      </c>
      <c r="E195" s="208" t="s">
        <v>97</v>
      </c>
      <c r="F195" s="91"/>
      <c r="G195" s="381" t="s">
        <v>97</v>
      </c>
      <c r="H195" s="382"/>
      <c r="I195" s="383"/>
      <c r="J195" s="105" t="s">
        <v>97</v>
      </c>
      <c r="K195" s="106" t="s">
        <v>97</v>
      </c>
      <c r="L195" s="119" t="s">
        <v>97</v>
      </c>
      <c r="M195" s="135" t="s">
        <v>97</v>
      </c>
      <c r="N195" s="123" t="s">
        <v>97</v>
      </c>
      <c r="O195" s="208"/>
      <c r="P195" s="410"/>
      <c r="Q195" s="411"/>
      <c r="R195" s="199" t="s">
        <v>97</v>
      </c>
      <c r="S195" s="113" t="s">
        <v>72</v>
      </c>
      <c r="T195" s="113" t="s">
        <v>134</v>
      </c>
      <c r="U195" s="132"/>
      <c r="V195" s="114" t="s">
        <v>74</v>
      </c>
      <c r="W195" s="105"/>
      <c r="X195" s="117"/>
      <c r="Y195" s="119"/>
      <c r="Z195" s="130"/>
      <c r="AA195" s="138"/>
    </row>
    <row r="196" spans="1:28" ht="15.75" thickBot="1" x14ac:dyDescent="0.3">
      <c r="A196" s="31">
        <v>102</v>
      </c>
      <c r="B196" s="193"/>
      <c r="C196" s="187" t="s">
        <v>97</v>
      </c>
      <c r="D196" s="104" t="s">
        <v>97</v>
      </c>
      <c r="E196" s="208" t="s">
        <v>97</v>
      </c>
      <c r="F196" s="91"/>
      <c r="G196" s="381" t="s">
        <v>97</v>
      </c>
      <c r="H196" s="382"/>
      <c r="I196" s="383"/>
      <c r="J196" s="105" t="s">
        <v>97</v>
      </c>
      <c r="K196" s="106" t="s">
        <v>97</v>
      </c>
      <c r="L196" s="119" t="s">
        <v>97</v>
      </c>
      <c r="M196" s="135" t="s">
        <v>97</v>
      </c>
      <c r="N196" s="123" t="s">
        <v>97</v>
      </c>
      <c r="O196" s="208"/>
      <c r="P196" s="410"/>
      <c r="Q196" s="411"/>
      <c r="R196" s="199" t="s">
        <v>97</v>
      </c>
      <c r="S196" s="113" t="s">
        <v>72</v>
      </c>
      <c r="T196" s="113" t="s">
        <v>134</v>
      </c>
      <c r="U196" s="132"/>
      <c r="V196" s="114" t="s">
        <v>74</v>
      </c>
      <c r="W196" s="105"/>
      <c r="X196" s="117"/>
      <c r="Y196" s="119"/>
      <c r="Z196" s="130"/>
      <c r="AA196" s="138"/>
    </row>
    <row r="197" spans="1:28" ht="15.75" thickBot="1" x14ac:dyDescent="0.3">
      <c r="A197" s="31">
        <v>103</v>
      </c>
      <c r="B197" s="193"/>
      <c r="C197" s="187" t="s">
        <v>97</v>
      </c>
      <c r="D197" s="104" t="s">
        <v>97</v>
      </c>
      <c r="E197" s="208" t="s">
        <v>97</v>
      </c>
      <c r="F197" s="91"/>
      <c r="G197" s="381" t="s">
        <v>97</v>
      </c>
      <c r="H197" s="382"/>
      <c r="I197" s="383"/>
      <c r="J197" s="105" t="s">
        <v>97</v>
      </c>
      <c r="K197" s="106" t="s">
        <v>97</v>
      </c>
      <c r="L197" s="119" t="s">
        <v>97</v>
      </c>
      <c r="M197" s="135" t="s">
        <v>97</v>
      </c>
      <c r="N197" s="123" t="s">
        <v>97</v>
      </c>
      <c r="O197" s="208"/>
      <c r="P197" s="410"/>
      <c r="Q197" s="411"/>
      <c r="R197" s="199" t="s">
        <v>97</v>
      </c>
      <c r="S197" s="113" t="s">
        <v>72</v>
      </c>
      <c r="T197" s="113" t="s">
        <v>134</v>
      </c>
      <c r="U197" s="132"/>
      <c r="V197" s="114" t="s">
        <v>74</v>
      </c>
      <c r="W197" s="105"/>
      <c r="X197" s="117"/>
      <c r="Y197" s="119"/>
      <c r="Z197" s="130"/>
      <c r="AA197" s="138"/>
    </row>
    <row r="198" spans="1:28" ht="15.75" thickBot="1" x14ac:dyDescent="0.3">
      <c r="A198" s="31">
        <v>104</v>
      </c>
      <c r="B198" s="193"/>
      <c r="C198" s="187" t="s">
        <v>97</v>
      </c>
      <c r="D198" s="104" t="s">
        <v>97</v>
      </c>
      <c r="E198" s="208" t="s">
        <v>97</v>
      </c>
      <c r="F198" s="91"/>
      <c r="G198" s="381" t="s">
        <v>97</v>
      </c>
      <c r="H198" s="382"/>
      <c r="I198" s="383"/>
      <c r="J198" s="105" t="s">
        <v>97</v>
      </c>
      <c r="K198" s="106" t="s">
        <v>97</v>
      </c>
      <c r="L198" s="119" t="s">
        <v>97</v>
      </c>
      <c r="M198" s="135" t="s">
        <v>97</v>
      </c>
      <c r="N198" s="123" t="s">
        <v>97</v>
      </c>
      <c r="O198" s="208"/>
      <c r="P198" s="410"/>
      <c r="Q198" s="411"/>
      <c r="R198" s="199" t="s">
        <v>97</v>
      </c>
      <c r="S198" s="113" t="s">
        <v>72</v>
      </c>
      <c r="T198" s="113" t="s">
        <v>134</v>
      </c>
      <c r="U198" s="132"/>
      <c r="V198" s="114" t="s">
        <v>74</v>
      </c>
      <c r="W198" s="105"/>
      <c r="X198" s="117"/>
      <c r="Y198" s="119"/>
      <c r="Z198" s="130"/>
      <c r="AA198" s="138"/>
    </row>
    <row r="199" spans="1:28" ht="15.75" thickBot="1" x14ac:dyDescent="0.3">
      <c r="A199" s="31">
        <v>105</v>
      </c>
      <c r="B199" s="193"/>
      <c r="C199" s="187" t="s">
        <v>97</v>
      </c>
      <c r="D199" s="104" t="s">
        <v>97</v>
      </c>
      <c r="E199" s="208" t="s">
        <v>97</v>
      </c>
      <c r="F199" s="91"/>
      <c r="G199" s="381" t="s">
        <v>97</v>
      </c>
      <c r="H199" s="382"/>
      <c r="I199" s="383"/>
      <c r="J199" s="105" t="s">
        <v>97</v>
      </c>
      <c r="K199" s="106" t="s">
        <v>97</v>
      </c>
      <c r="L199" s="119" t="s">
        <v>97</v>
      </c>
      <c r="M199" s="135" t="s">
        <v>97</v>
      </c>
      <c r="N199" s="123" t="s">
        <v>97</v>
      </c>
      <c r="O199" s="208"/>
      <c r="P199" s="410"/>
      <c r="Q199" s="411"/>
      <c r="R199" s="199" t="s">
        <v>97</v>
      </c>
      <c r="S199" s="113" t="s">
        <v>72</v>
      </c>
      <c r="T199" s="113" t="s">
        <v>134</v>
      </c>
      <c r="U199" s="132"/>
      <c r="V199" s="114" t="s">
        <v>74</v>
      </c>
      <c r="W199" s="105"/>
      <c r="X199" s="117"/>
      <c r="Y199" s="119"/>
      <c r="Z199" s="130"/>
      <c r="AA199" s="138"/>
    </row>
    <row r="200" spans="1:28" ht="15.75" thickBot="1" x14ac:dyDescent="0.3">
      <c r="A200" s="31">
        <v>106</v>
      </c>
      <c r="B200" s="193"/>
      <c r="C200" s="187" t="s">
        <v>97</v>
      </c>
      <c r="D200" s="104" t="s">
        <v>97</v>
      </c>
      <c r="E200" s="208" t="s">
        <v>97</v>
      </c>
      <c r="F200" s="91"/>
      <c r="G200" s="381" t="s">
        <v>97</v>
      </c>
      <c r="H200" s="382"/>
      <c r="I200" s="383"/>
      <c r="J200" s="105" t="s">
        <v>97</v>
      </c>
      <c r="K200" s="106" t="s">
        <v>97</v>
      </c>
      <c r="L200" s="119" t="s">
        <v>97</v>
      </c>
      <c r="M200" s="135" t="s">
        <v>97</v>
      </c>
      <c r="N200" s="123" t="s">
        <v>97</v>
      </c>
      <c r="O200" s="208"/>
      <c r="P200" s="410"/>
      <c r="Q200" s="411"/>
      <c r="R200" s="199" t="s">
        <v>97</v>
      </c>
      <c r="S200" s="113" t="s">
        <v>72</v>
      </c>
      <c r="T200" s="113" t="s">
        <v>134</v>
      </c>
      <c r="U200" s="132"/>
      <c r="V200" s="114" t="s">
        <v>74</v>
      </c>
      <c r="W200" s="105"/>
      <c r="X200" s="117"/>
      <c r="Y200" s="119"/>
      <c r="Z200" s="130"/>
      <c r="AA200" s="138"/>
    </row>
    <row r="201" spans="1:28" ht="15.75" thickBot="1" x14ac:dyDescent="0.3">
      <c r="A201" s="31">
        <v>107</v>
      </c>
      <c r="B201" s="193"/>
      <c r="C201" s="187" t="s">
        <v>97</v>
      </c>
      <c r="D201" s="104" t="s">
        <v>97</v>
      </c>
      <c r="E201" s="208" t="s">
        <v>97</v>
      </c>
      <c r="F201" s="91"/>
      <c r="G201" s="381" t="s">
        <v>97</v>
      </c>
      <c r="H201" s="382"/>
      <c r="I201" s="383"/>
      <c r="J201" s="105" t="s">
        <v>97</v>
      </c>
      <c r="K201" s="106" t="s">
        <v>97</v>
      </c>
      <c r="L201" s="119" t="s">
        <v>97</v>
      </c>
      <c r="M201" s="135" t="s">
        <v>97</v>
      </c>
      <c r="N201" s="123" t="s">
        <v>97</v>
      </c>
      <c r="O201" s="208"/>
      <c r="P201" s="410"/>
      <c r="Q201" s="411"/>
      <c r="R201" s="199" t="s">
        <v>97</v>
      </c>
      <c r="S201" s="113" t="s">
        <v>72</v>
      </c>
      <c r="T201" s="113" t="s">
        <v>134</v>
      </c>
      <c r="U201" s="132"/>
      <c r="V201" s="114" t="s">
        <v>74</v>
      </c>
      <c r="W201" s="105"/>
      <c r="X201" s="117"/>
      <c r="Y201" s="119"/>
      <c r="Z201" s="130"/>
      <c r="AA201" s="138"/>
    </row>
    <row r="202" spans="1:28" ht="15.75" thickBot="1" x14ac:dyDescent="0.3">
      <c r="A202" s="31">
        <v>108</v>
      </c>
      <c r="B202" s="193"/>
      <c r="C202" s="187" t="s">
        <v>97</v>
      </c>
      <c r="D202" s="104" t="s">
        <v>97</v>
      </c>
      <c r="E202" s="208" t="s">
        <v>97</v>
      </c>
      <c r="F202" s="91"/>
      <c r="G202" s="381" t="s">
        <v>97</v>
      </c>
      <c r="H202" s="382"/>
      <c r="I202" s="383"/>
      <c r="J202" s="105" t="s">
        <v>97</v>
      </c>
      <c r="K202" s="106" t="s">
        <v>97</v>
      </c>
      <c r="L202" s="119" t="s">
        <v>97</v>
      </c>
      <c r="M202" s="135" t="s">
        <v>97</v>
      </c>
      <c r="N202" s="123" t="s">
        <v>97</v>
      </c>
      <c r="O202" s="208"/>
      <c r="P202" s="410"/>
      <c r="Q202" s="411"/>
      <c r="R202" s="199" t="s">
        <v>97</v>
      </c>
      <c r="S202" s="113" t="s">
        <v>72</v>
      </c>
      <c r="T202" s="113" t="s">
        <v>134</v>
      </c>
      <c r="U202" s="132"/>
      <c r="V202" s="114" t="s">
        <v>74</v>
      </c>
      <c r="W202" s="105"/>
      <c r="X202" s="117"/>
      <c r="Y202" s="119"/>
      <c r="Z202" s="130"/>
      <c r="AA202" s="138"/>
    </row>
    <row r="203" spans="1:28" ht="15.75" thickBot="1" x14ac:dyDescent="0.3">
      <c r="A203" s="31">
        <v>109</v>
      </c>
      <c r="B203" s="193"/>
      <c r="C203" s="187" t="s">
        <v>97</v>
      </c>
      <c r="D203" s="104" t="s">
        <v>97</v>
      </c>
      <c r="E203" s="208" t="s">
        <v>97</v>
      </c>
      <c r="F203" s="91"/>
      <c r="G203" s="381" t="s">
        <v>97</v>
      </c>
      <c r="H203" s="382"/>
      <c r="I203" s="383"/>
      <c r="J203" s="105" t="s">
        <v>97</v>
      </c>
      <c r="K203" s="106" t="s">
        <v>97</v>
      </c>
      <c r="L203" s="119" t="s">
        <v>97</v>
      </c>
      <c r="M203" s="135" t="s">
        <v>97</v>
      </c>
      <c r="N203" s="123" t="s">
        <v>97</v>
      </c>
      <c r="O203" s="208"/>
      <c r="P203" s="410"/>
      <c r="Q203" s="411"/>
      <c r="R203" s="199" t="s">
        <v>97</v>
      </c>
      <c r="S203" s="113" t="s">
        <v>72</v>
      </c>
      <c r="T203" s="113" t="s">
        <v>134</v>
      </c>
      <c r="U203" s="132"/>
      <c r="V203" s="114" t="s">
        <v>74</v>
      </c>
      <c r="W203" s="105"/>
      <c r="X203" s="117"/>
      <c r="Y203" s="119"/>
      <c r="Z203" s="130"/>
      <c r="AA203" s="138"/>
    </row>
    <row r="204" spans="1:28" ht="15.75" thickBot="1" x14ac:dyDescent="0.3">
      <c r="A204" s="31">
        <v>110</v>
      </c>
      <c r="B204" s="193"/>
      <c r="C204" s="187" t="s">
        <v>97</v>
      </c>
      <c r="D204" s="104" t="s">
        <v>97</v>
      </c>
      <c r="E204" s="208" t="s">
        <v>97</v>
      </c>
      <c r="F204" s="91"/>
      <c r="G204" s="381" t="s">
        <v>97</v>
      </c>
      <c r="H204" s="382"/>
      <c r="I204" s="383"/>
      <c r="J204" s="105" t="s">
        <v>97</v>
      </c>
      <c r="K204" s="106" t="s">
        <v>97</v>
      </c>
      <c r="L204" s="119" t="s">
        <v>97</v>
      </c>
      <c r="M204" s="135" t="s">
        <v>97</v>
      </c>
      <c r="N204" s="123" t="s">
        <v>97</v>
      </c>
      <c r="O204" s="208"/>
      <c r="P204" s="410"/>
      <c r="Q204" s="411"/>
      <c r="R204" s="199" t="s">
        <v>97</v>
      </c>
      <c r="S204" s="113" t="s">
        <v>72</v>
      </c>
      <c r="T204" s="113" t="s">
        <v>134</v>
      </c>
      <c r="U204" s="132"/>
      <c r="V204" s="114" t="s">
        <v>74</v>
      </c>
      <c r="W204" s="105"/>
      <c r="X204" s="117"/>
      <c r="Y204" s="119"/>
      <c r="Z204" s="130"/>
      <c r="AA204" s="138"/>
    </row>
    <row r="205" spans="1:28" ht="15.75" thickBot="1" x14ac:dyDescent="0.3">
      <c r="A205" s="31">
        <v>111</v>
      </c>
      <c r="B205" s="193"/>
      <c r="C205" s="187" t="s">
        <v>97</v>
      </c>
      <c r="D205" s="104" t="s">
        <v>97</v>
      </c>
      <c r="E205" s="208" t="s">
        <v>97</v>
      </c>
      <c r="F205" s="91"/>
      <c r="G205" s="381" t="s">
        <v>97</v>
      </c>
      <c r="H205" s="382"/>
      <c r="I205" s="383"/>
      <c r="J205" s="105" t="s">
        <v>97</v>
      </c>
      <c r="K205" s="106" t="s">
        <v>97</v>
      </c>
      <c r="L205" s="119" t="s">
        <v>97</v>
      </c>
      <c r="M205" s="135" t="s">
        <v>97</v>
      </c>
      <c r="N205" s="123" t="s">
        <v>97</v>
      </c>
      <c r="O205" s="208"/>
      <c r="P205" s="410"/>
      <c r="Q205" s="411"/>
      <c r="R205" s="199" t="s">
        <v>97</v>
      </c>
      <c r="S205" s="113" t="s">
        <v>72</v>
      </c>
      <c r="T205" s="113" t="s">
        <v>134</v>
      </c>
      <c r="U205" s="132"/>
      <c r="V205" s="114" t="s">
        <v>74</v>
      </c>
      <c r="W205" s="105"/>
      <c r="X205" s="117"/>
      <c r="Y205" s="119"/>
      <c r="Z205" s="130"/>
      <c r="AA205" s="138"/>
    </row>
    <row r="206" spans="1:28" ht="15.75" thickBot="1" x14ac:dyDescent="0.3">
      <c r="A206" s="31">
        <v>112</v>
      </c>
      <c r="B206" s="193"/>
      <c r="C206" s="187" t="s">
        <v>97</v>
      </c>
      <c r="D206" s="104" t="s">
        <v>97</v>
      </c>
      <c r="E206" s="208" t="s">
        <v>97</v>
      </c>
      <c r="F206" s="91"/>
      <c r="G206" s="381" t="s">
        <v>97</v>
      </c>
      <c r="H206" s="382"/>
      <c r="I206" s="383"/>
      <c r="J206" s="105" t="s">
        <v>97</v>
      </c>
      <c r="K206" s="106" t="s">
        <v>97</v>
      </c>
      <c r="L206" s="119" t="s">
        <v>97</v>
      </c>
      <c r="M206" s="135" t="s">
        <v>97</v>
      </c>
      <c r="N206" s="123" t="s">
        <v>97</v>
      </c>
      <c r="O206" s="208"/>
      <c r="P206" s="410"/>
      <c r="Q206" s="411"/>
      <c r="R206" s="199" t="s">
        <v>97</v>
      </c>
      <c r="S206" s="113" t="s">
        <v>72</v>
      </c>
      <c r="T206" s="113" t="s">
        <v>134</v>
      </c>
      <c r="U206" s="132"/>
      <c r="V206" s="114" t="s">
        <v>74</v>
      </c>
      <c r="W206" s="105"/>
      <c r="X206" s="117"/>
      <c r="Y206" s="119"/>
      <c r="Z206" s="130"/>
      <c r="AA206" s="138"/>
    </row>
    <row r="207" spans="1:28" ht="15.75" thickBot="1" x14ac:dyDescent="0.3">
      <c r="A207" s="31">
        <v>113</v>
      </c>
      <c r="B207" s="193"/>
      <c r="C207" s="187" t="s">
        <v>97</v>
      </c>
      <c r="D207" s="104" t="s">
        <v>97</v>
      </c>
      <c r="E207" s="208" t="s">
        <v>97</v>
      </c>
      <c r="F207" s="91"/>
      <c r="G207" s="381" t="s">
        <v>97</v>
      </c>
      <c r="H207" s="382"/>
      <c r="I207" s="383"/>
      <c r="J207" s="105" t="s">
        <v>97</v>
      </c>
      <c r="K207" s="106" t="s">
        <v>97</v>
      </c>
      <c r="L207" s="119" t="s">
        <v>97</v>
      </c>
      <c r="M207" s="135" t="s">
        <v>97</v>
      </c>
      <c r="N207" s="123" t="s">
        <v>97</v>
      </c>
      <c r="O207" s="208"/>
      <c r="P207" s="410"/>
      <c r="Q207" s="411"/>
      <c r="R207" s="199" t="s">
        <v>97</v>
      </c>
      <c r="S207" s="113" t="s">
        <v>72</v>
      </c>
      <c r="T207" s="113" t="s">
        <v>134</v>
      </c>
      <c r="U207" s="132"/>
      <c r="V207" s="114" t="s">
        <v>74</v>
      </c>
      <c r="W207" s="105"/>
      <c r="X207" s="117"/>
      <c r="Y207" s="119"/>
      <c r="Z207" s="130"/>
      <c r="AA207" s="138"/>
    </row>
    <row r="208" spans="1:28" ht="15.75" thickBot="1" x14ac:dyDescent="0.3">
      <c r="A208" s="31">
        <v>114</v>
      </c>
      <c r="B208" s="193"/>
      <c r="C208" s="187" t="s">
        <v>97</v>
      </c>
      <c r="D208" s="104" t="s">
        <v>97</v>
      </c>
      <c r="E208" s="208" t="s">
        <v>97</v>
      </c>
      <c r="F208" s="91"/>
      <c r="G208" s="381" t="s">
        <v>97</v>
      </c>
      <c r="H208" s="382"/>
      <c r="I208" s="383"/>
      <c r="J208" s="105" t="s">
        <v>97</v>
      </c>
      <c r="K208" s="106" t="s">
        <v>97</v>
      </c>
      <c r="L208" s="119" t="s">
        <v>97</v>
      </c>
      <c r="M208" s="135" t="s">
        <v>97</v>
      </c>
      <c r="N208" s="123" t="s">
        <v>97</v>
      </c>
      <c r="O208" s="208"/>
      <c r="P208" s="410"/>
      <c r="Q208" s="411"/>
      <c r="R208" s="199" t="s">
        <v>97</v>
      </c>
      <c r="S208" s="113" t="s">
        <v>72</v>
      </c>
      <c r="T208" s="113" t="s">
        <v>134</v>
      </c>
      <c r="U208" s="132"/>
      <c r="V208" s="114" t="s">
        <v>74</v>
      </c>
      <c r="W208" s="105"/>
      <c r="X208" s="117"/>
      <c r="Y208" s="119"/>
      <c r="Z208" s="130"/>
      <c r="AA208" s="138"/>
    </row>
    <row r="209" spans="1:27" ht="15.75" thickBot="1" x14ac:dyDescent="0.3">
      <c r="A209" s="31">
        <v>115</v>
      </c>
      <c r="B209" s="193"/>
      <c r="C209" s="187" t="s">
        <v>97</v>
      </c>
      <c r="D209" s="104" t="s">
        <v>97</v>
      </c>
      <c r="E209" s="208" t="s">
        <v>97</v>
      </c>
      <c r="F209" s="91"/>
      <c r="G209" s="381" t="s">
        <v>97</v>
      </c>
      <c r="H209" s="382"/>
      <c r="I209" s="383"/>
      <c r="J209" s="105" t="s">
        <v>97</v>
      </c>
      <c r="K209" s="106" t="s">
        <v>97</v>
      </c>
      <c r="L209" s="119" t="s">
        <v>97</v>
      </c>
      <c r="M209" s="135" t="s">
        <v>97</v>
      </c>
      <c r="N209" s="123" t="s">
        <v>97</v>
      </c>
      <c r="O209" s="208"/>
      <c r="P209" s="410"/>
      <c r="Q209" s="411"/>
      <c r="R209" s="199" t="s">
        <v>97</v>
      </c>
      <c r="S209" s="113" t="s">
        <v>72</v>
      </c>
      <c r="T209" s="113" t="s">
        <v>134</v>
      </c>
      <c r="U209" s="132"/>
      <c r="V209" s="114" t="s">
        <v>74</v>
      </c>
      <c r="W209" s="105"/>
      <c r="X209" s="117"/>
      <c r="Y209" s="119"/>
      <c r="Z209" s="130"/>
      <c r="AA209" s="138"/>
    </row>
    <row r="210" spans="1:27" ht="15.75" thickBot="1" x14ac:dyDescent="0.3">
      <c r="A210" s="31">
        <v>116</v>
      </c>
      <c r="B210" s="193"/>
      <c r="C210" s="187" t="s">
        <v>97</v>
      </c>
      <c r="D210" s="104" t="s">
        <v>97</v>
      </c>
      <c r="E210" s="208" t="s">
        <v>97</v>
      </c>
      <c r="F210" s="91"/>
      <c r="G210" s="381" t="s">
        <v>97</v>
      </c>
      <c r="H210" s="382"/>
      <c r="I210" s="383"/>
      <c r="J210" s="105" t="s">
        <v>97</v>
      </c>
      <c r="K210" s="106" t="s">
        <v>97</v>
      </c>
      <c r="L210" s="119" t="s">
        <v>97</v>
      </c>
      <c r="M210" s="135" t="s">
        <v>97</v>
      </c>
      <c r="N210" s="123" t="s">
        <v>97</v>
      </c>
      <c r="O210" s="208"/>
      <c r="P210" s="410"/>
      <c r="Q210" s="411"/>
      <c r="R210" s="199" t="s">
        <v>97</v>
      </c>
      <c r="S210" s="113" t="s">
        <v>72</v>
      </c>
      <c r="T210" s="113" t="s">
        <v>134</v>
      </c>
      <c r="U210" s="132"/>
      <c r="V210" s="114" t="s">
        <v>74</v>
      </c>
      <c r="W210" s="105"/>
      <c r="X210" s="117"/>
      <c r="Y210" s="119"/>
      <c r="Z210" s="130"/>
      <c r="AA210" s="138"/>
    </row>
    <row r="211" spans="1:27" ht="15.75" thickBot="1" x14ac:dyDescent="0.3">
      <c r="A211" s="31">
        <v>117</v>
      </c>
      <c r="B211" s="193"/>
      <c r="C211" s="187" t="s">
        <v>97</v>
      </c>
      <c r="D211" s="104" t="s">
        <v>97</v>
      </c>
      <c r="E211" s="208" t="s">
        <v>97</v>
      </c>
      <c r="F211" s="91"/>
      <c r="G211" s="381" t="s">
        <v>97</v>
      </c>
      <c r="H211" s="382"/>
      <c r="I211" s="383"/>
      <c r="J211" s="105" t="s">
        <v>97</v>
      </c>
      <c r="K211" s="106" t="s">
        <v>97</v>
      </c>
      <c r="L211" s="119" t="s">
        <v>97</v>
      </c>
      <c r="M211" s="135" t="s">
        <v>97</v>
      </c>
      <c r="N211" s="123" t="s">
        <v>97</v>
      </c>
      <c r="O211" s="208"/>
      <c r="P211" s="410"/>
      <c r="Q211" s="411"/>
      <c r="R211" s="199" t="s">
        <v>97</v>
      </c>
      <c r="S211" s="113" t="s">
        <v>72</v>
      </c>
      <c r="T211" s="113" t="s">
        <v>134</v>
      </c>
      <c r="U211" s="132"/>
      <c r="V211" s="114" t="s">
        <v>74</v>
      </c>
      <c r="W211" s="105"/>
      <c r="X211" s="117"/>
      <c r="Y211" s="119"/>
      <c r="Z211" s="130"/>
      <c r="AA211" s="138"/>
    </row>
    <row r="212" spans="1:27" ht="15.75" thickBot="1" x14ac:dyDescent="0.3">
      <c r="A212" s="31">
        <v>118</v>
      </c>
      <c r="B212" s="193"/>
      <c r="C212" s="187" t="s">
        <v>97</v>
      </c>
      <c r="D212" s="104" t="s">
        <v>97</v>
      </c>
      <c r="E212" s="208" t="s">
        <v>97</v>
      </c>
      <c r="F212" s="91"/>
      <c r="G212" s="381" t="s">
        <v>97</v>
      </c>
      <c r="H212" s="382"/>
      <c r="I212" s="383"/>
      <c r="J212" s="105" t="s">
        <v>97</v>
      </c>
      <c r="K212" s="106" t="s">
        <v>97</v>
      </c>
      <c r="L212" s="119" t="s">
        <v>97</v>
      </c>
      <c r="M212" s="135" t="s">
        <v>97</v>
      </c>
      <c r="N212" s="123" t="s">
        <v>97</v>
      </c>
      <c r="O212" s="208"/>
      <c r="P212" s="410"/>
      <c r="Q212" s="411"/>
      <c r="R212" s="199" t="s">
        <v>97</v>
      </c>
      <c r="S212" s="113" t="s">
        <v>72</v>
      </c>
      <c r="T212" s="113" t="s">
        <v>134</v>
      </c>
      <c r="U212" s="132"/>
      <c r="V212" s="114" t="s">
        <v>74</v>
      </c>
      <c r="W212" s="105"/>
      <c r="X212" s="117"/>
      <c r="Y212" s="119"/>
      <c r="Z212" s="130"/>
      <c r="AA212" s="138"/>
    </row>
    <row r="213" spans="1:27" ht="15.75" thickBot="1" x14ac:dyDescent="0.3">
      <c r="A213" s="31">
        <v>119</v>
      </c>
      <c r="B213" s="193"/>
      <c r="C213" s="187" t="s">
        <v>97</v>
      </c>
      <c r="D213" s="104" t="s">
        <v>97</v>
      </c>
      <c r="E213" s="208" t="s">
        <v>97</v>
      </c>
      <c r="F213" s="91"/>
      <c r="G213" s="381" t="s">
        <v>97</v>
      </c>
      <c r="H213" s="382"/>
      <c r="I213" s="383"/>
      <c r="J213" s="105" t="s">
        <v>97</v>
      </c>
      <c r="K213" s="106" t="s">
        <v>97</v>
      </c>
      <c r="L213" s="119" t="s">
        <v>97</v>
      </c>
      <c r="M213" s="135" t="s">
        <v>97</v>
      </c>
      <c r="N213" s="123" t="s">
        <v>97</v>
      </c>
      <c r="O213" s="208"/>
      <c r="P213" s="410"/>
      <c r="Q213" s="411"/>
      <c r="R213" s="199" t="s">
        <v>97</v>
      </c>
      <c r="S213" s="113" t="s">
        <v>72</v>
      </c>
      <c r="T213" s="113" t="s">
        <v>134</v>
      </c>
      <c r="U213" s="132"/>
      <c r="V213" s="114" t="s">
        <v>74</v>
      </c>
      <c r="W213" s="105"/>
      <c r="X213" s="117"/>
      <c r="Y213" s="119"/>
      <c r="Z213" s="130"/>
      <c r="AA213" s="138"/>
    </row>
    <row r="214" spans="1:27" ht="15.75" thickBot="1" x14ac:dyDescent="0.3">
      <c r="A214" s="31">
        <v>120</v>
      </c>
      <c r="B214" s="193"/>
      <c r="C214" s="187" t="s">
        <v>97</v>
      </c>
      <c r="D214" s="104" t="s">
        <v>97</v>
      </c>
      <c r="E214" s="208" t="s">
        <v>97</v>
      </c>
      <c r="F214" s="91"/>
      <c r="G214" s="381" t="s">
        <v>97</v>
      </c>
      <c r="H214" s="382"/>
      <c r="I214" s="383"/>
      <c r="J214" s="105" t="s">
        <v>97</v>
      </c>
      <c r="K214" s="106" t="s">
        <v>97</v>
      </c>
      <c r="L214" s="119" t="s">
        <v>97</v>
      </c>
      <c r="M214" s="135" t="s">
        <v>97</v>
      </c>
      <c r="N214" s="123" t="s">
        <v>97</v>
      </c>
      <c r="O214" s="208"/>
      <c r="P214" s="410"/>
      <c r="Q214" s="411"/>
      <c r="R214" s="199" t="s">
        <v>97</v>
      </c>
      <c r="S214" s="113" t="s">
        <v>72</v>
      </c>
      <c r="T214" s="113" t="s">
        <v>134</v>
      </c>
      <c r="U214" s="132"/>
      <c r="V214" s="114" t="s">
        <v>74</v>
      </c>
      <c r="W214" s="105"/>
      <c r="X214" s="117"/>
      <c r="Y214" s="119"/>
      <c r="Z214" s="130"/>
      <c r="AA214" s="138"/>
    </row>
    <row r="215" spans="1:27" ht="15.75" thickBot="1" x14ac:dyDescent="0.3">
      <c r="A215" s="31">
        <v>121</v>
      </c>
      <c r="B215" s="193"/>
      <c r="C215" s="187" t="s">
        <v>97</v>
      </c>
      <c r="D215" s="104" t="s">
        <v>97</v>
      </c>
      <c r="E215" s="208" t="s">
        <v>97</v>
      </c>
      <c r="F215" s="91"/>
      <c r="G215" s="381" t="s">
        <v>97</v>
      </c>
      <c r="H215" s="382"/>
      <c r="I215" s="383"/>
      <c r="J215" s="105" t="s">
        <v>97</v>
      </c>
      <c r="K215" s="106" t="s">
        <v>97</v>
      </c>
      <c r="L215" s="119" t="s">
        <v>97</v>
      </c>
      <c r="M215" s="135" t="s">
        <v>97</v>
      </c>
      <c r="N215" s="123" t="s">
        <v>97</v>
      </c>
      <c r="O215" s="208"/>
      <c r="P215" s="410"/>
      <c r="Q215" s="411"/>
      <c r="R215" s="199" t="s">
        <v>97</v>
      </c>
      <c r="S215" s="113" t="s">
        <v>72</v>
      </c>
      <c r="T215" s="113" t="s">
        <v>134</v>
      </c>
      <c r="U215" s="132"/>
      <c r="V215" s="114" t="s">
        <v>74</v>
      </c>
      <c r="W215" s="105"/>
      <c r="X215" s="117"/>
      <c r="Y215" s="119"/>
      <c r="Z215" s="130"/>
      <c r="AA215" s="138"/>
    </row>
    <row r="216" spans="1:27" ht="15.75" thickBot="1" x14ac:dyDescent="0.3">
      <c r="A216" s="31">
        <v>122</v>
      </c>
      <c r="B216" s="193"/>
      <c r="C216" s="187" t="s">
        <v>97</v>
      </c>
      <c r="D216" s="104" t="s">
        <v>97</v>
      </c>
      <c r="E216" s="208" t="s">
        <v>97</v>
      </c>
      <c r="F216" s="91"/>
      <c r="G216" s="381" t="s">
        <v>97</v>
      </c>
      <c r="H216" s="382"/>
      <c r="I216" s="383"/>
      <c r="J216" s="105" t="s">
        <v>97</v>
      </c>
      <c r="K216" s="106" t="s">
        <v>97</v>
      </c>
      <c r="L216" s="119" t="s">
        <v>97</v>
      </c>
      <c r="M216" s="135" t="s">
        <v>97</v>
      </c>
      <c r="N216" s="123" t="s">
        <v>97</v>
      </c>
      <c r="O216" s="208"/>
      <c r="P216" s="410"/>
      <c r="Q216" s="411"/>
      <c r="R216" s="199" t="s">
        <v>97</v>
      </c>
      <c r="S216" s="113" t="s">
        <v>72</v>
      </c>
      <c r="T216" s="113" t="s">
        <v>134</v>
      </c>
      <c r="U216" s="132"/>
      <c r="V216" s="114" t="s">
        <v>74</v>
      </c>
      <c r="W216" s="105"/>
      <c r="X216" s="117"/>
      <c r="Y216" s="119"/>
      <c r="Z216" s="130"/>
      <c r="AA216" s="123"/>
    </row>
    <row r="217" spans="1:27" ht="15.75" thickBot="1" x14ac:dyDescent="0.3">
      <c r="A217" s="31">
        <v>123</v>
      </c>
      <c r="B217" s="193"/>
      <c r="C217" s="187" t="s">
        <v>97</v>
      </c>
      <c r="D217" s="104" t="s">
        <v>97</v>
      </c>
      <c r="E217" s="208" t="s">
        <v>97</v>
      </c>
      <c r="F217" s="91"/>
      <c r="G217" s="381" t="s">
        <v>97</v>
      </c>
      <c r="H217" s="382"/>
      <c r="I217" s="383"/>
      <c r="J217" s="105" t="s">
        <v>97</v>
      </c>
      <c r="K217" s="106" t="s">
        <v>97</v>
      </c>
      <c r="L217" s="119" t="s">
        <v>97</v>
      </c>
      <c r="M217" s="135" t="s">
        <v>97</v>
      </c>
      <c r="N217" s="123" t="s">
        <v>97</v>
      </c>
      <c r="O217" s="208"/>
      <c r="P217" s="410"/>
      <c r="Q217" s="411"/>
      <c r="R217" s="199" t="s">
        <v>97</v>
      </c>
      <c r="S217" s="113" t="s">
        <v>72</v>
      </c>
      <c r="T217" s="113" t="s">
        <v>134</v>
      </c>
      <c r="U217" s="132"/>
      <c r="V217" s="114" t="s">
        <v>74</v>
      </c>
      <c r="W217" s="105"/>
      <c r="X217" s="117"/>
      <c r="Y217" s="119"/>
      <c r="Z217" s="130"/>
      <c r="AA217" s="123"/>
    </row>
    <row r="218" spans="1:27" ht="15.75" thickBot="1" x14ac:dyDescent="0.3">
      <c r="A218" s="31">
        <v>124</v>
      </c>
      <c r="B218" s="193"/>
      <c r="C218" s="187" t="s">
        <v>97</v>
      </c>
      <c r="D218" s="104" t="s">
        <v>97</v>
      </c>
      <c r="E218" s="208" t="s">
        <v>97</v>
      </c>
      <c r="F218" s="91"/>
      <c r="G218" s="381" t="s">
        <v>97</v>
      </c>
      <c r="H218" s="382"/>
      <c r="I218" s="383"/>
      <c r="J218" s="105" t="s">
        <v>97</v>
      </c>
      <c r="K218" s="106" t="s">
        <v>97</v>
      </c>
      <c r="L218" s="119" t="s">
        <v>97</v>
      </c>
      <c r="M218" s="135" t="s">
        <v>97</v>
      </c>
      <c r="N218" s="123" t="s">
        <v>97</v>
      </c>
      <c r="O218" s="208"/>
      <c r="P218" s="410"/>
      <c r="Q218" s="411"/>
      <c r="R218" s="199" t="s">
        <v>97</v>
      </c>
      <c r="S218" s="113" t="s">
        <v>72</v>
      </c>
      <c r="T218" s="113" t="s">
        <v>134</v>
      </c>
      <c r="U218" s="132"/>
      <c r="V218" s="114" t="s">
        <v>74</v>
      </c>
      <c r="W218" s="105"/>
      <c r="X218" s="117"/>
      <c r="Y218" s="119"/>
      <c r="Z218" s="130"/>
      <c r="AA218" s="138"/>
    </row>
    <row r="219" spans="1:27" ht="15.75" thickBot="1" x14ac:dyDescent="0.3">
      <c r="A219" s="31">
        <v>125</v>
      </c>
      <c r="B219" s="193"/>
      <c r="C219" s="187" t="s">
        <v>97</v>
      </c>
      <c r="D219" s="104" t="s">
        <v>97</v>
      </c>
      <c r="E219" s="208" t="s">
        <v>97</v>
      </c>
      <c r="F219" s="91"/>
      <c r="G219" s="381" t="s">
        <v>97</v>
      </c>
      <c r="H219" s="382"/>
      <c r="I219" s="383"/>
      <c r="J219" s="105" t="s">
        <v>97</v>
      </c>
      <c r="K219" s="106" t="s">
        <v>97</v>
      </c>
      <c r="L219" s="119" t="s">
        <v>97</v>
      </c>
      <c r="M219" s="135" t="s">
        <v>97</v>
      </c>
      <c r="N219" s="123" t="s">
        <v>97</v>
      </c>
      <c r="O219" s="209"/>
      <c r="P219" s="410"/>
      <c r="Q219" s="411"/>
      <c r="R219" s="199" t="s">
        <v>97</v>
      </c>
      <c r="S219" s="113" t="s">
        <v>72</v>
      </c>
      <c r="T219" s="113" t="s">
        <v>134</v>
      </c>
      <c r="U219" s="132"/>
      <c r="V219" s="114" t="s">
        <v>74</v>
      </c>
      <c r="W219" s="105"/>
      <c r="X219" s="117"/>
      <c r="Y219" s="119"/>
      <c r="Z219" s="130"/>
      <c r="AA219" s="123"/>
    </row>
    <row r="220" spans="1:27" ht="15.75" thickBot="1" x14ac:dyDescent="0.3">
      <c r="A220" s="31">
        <v>126</v>
      </c>
      <c r="B220" s="193"/>
      <c r="C220" s="187" t="s">
        <v>97</v>
      </c>
      <c r="D220" s="104" t="s">
        <v>97</v>
      </c>
      <c r="E220" s="209" t="s">
        <v>97</v>
      </c>
      <c r="F220" s="92"/>
      <c r="G220" s="373" t="s">
        <v>97</v>
      </c>
      <c r="H220" s="374"/>
      <c r="I220" s="384"/>
      <c r="J220" s="108" t="s">
        <v>97</v>
      </c>
      <c r="K220" s="109" t="s">
        <v>97</v>
      </c>
      <c r="L220" s="120" t="s">
        <v>97</v>
      </c>
      <c r="M220" s="136" t="s">
        <v>97</v>
      </c>
      <c r="N220" s="124" t="s">
        <v>97</v>
      </c>
      <c r="O220" s="209"/>
      <c r="P220" s="379"/>
      <c r="Q220" s="380"/>
      <c r="R220" s="199" t="s">
        <v>97</v>
      </c>
      <c r="S220" s="113" t="s">
        <v>72</v>
      </c>
      <c r="T220" s="113" t="s">
        <v>134</v>
      </c>
      <c r="U220" s="132"/>
      <c r="V220" s="114" t="s">
        <v>74</v>
      </c>
      <c r="W220" s="127"/>
      <c r="X220" s="109"/>
      <c r="Y220" s="120"/>
      <c r="Z220" s="124"/>
      <c r="AA220" s="139"/>
    </row>
    <row r="221" spans="1:27" ht="15.75" thickBot="1" x14ac:dyDescent="0.3">
      <c r="A221" s="31">
        <v>127</v>
      </c>
      <c r="B221" s="193"/>
      <c r="C221" s="187" t="s">
        <v>97</v>
      </c>
      <c r="D221" s="104" t="s">
        <v>97</v>
      </c>
      <c r="E221" s="209" t="s">
        <v>97</v>
      </c>
      <c r="F221" s="92"/>
      <c r="G221" s="373" t="s">
        <v>97</v>
      </c>
      <c r="H221" s="374"/>
      <c r="I221" s="374"/>
      <c r="J221" s="108" t="s">
        <v>97</v>
      </c>
      <c r="K221" s="109" t="s">
        <v>97</v>
      </c>
      <c r="L221" s="120" t="s">
        <v>97</v>
      </c>
      <c r="M221" s="136" t="s">
        <v>97</v>
      </c>
      <c r="N221" s="124" t="s">
        <v>97</v>
      </c>
      <c r="O221" s="209"/>
      <c r="P221" s="379"/>
      <c r="Q221" s="380"/>
      <c r="R221" s="199" t="s">
        <v>97</v>
      </c>
      <c r="S221" s="113" t="s">
        <v>72</v>
      </c>
      <c r="T221" s="113" t="s">
        <v>134</v>
      </c>
      <c r="U221" s="132"/>
      <c r="V221" s="114" t="s">
        <v>74</v>
      </c>
      <c r="W221" s="127"/>
      <c r="X221" s="109"/>
      <c r="Y221" s="120"/>
      <c r="Z221" s="124"/>
      <c r="AA221" s="139"/>
    </row>
    <row r="222" spans="1:27" ht="15.75" thickBot="1" x14ac:dyDescent="0.3">
      <c r="A222" s="31">
        <v>128</v>
      </c>
      <c r="B222" s="193"/>
      <c r="C222" s="190" t="s">
        <v>97</v>
      </c>
      <c r="D222" s="107" t="s">
        <v>97</v>
      </c>
      <c r="E222" s="209" t="s">
        <v>97</v>
      </c>
      <c r="F222" s="92"/>
      <c r="G222" s="373" t="s">
        <v>97</v>
      </c>
      <c r="H222" s="374"/>
      <c r="I222" s="374"/>
      <c r="J222" s="108" t="s">
        <v>97</v>
      </c>
      <c r="K222" s="109" t="s">
        <v>97</v>
      </c>
      <c r="L222" s="120" t="s">
        <v>97</v>
      </c>
      <c r="M222" s="136" t="s">
        <v>97</v>
      </c>
      <c r="N222" s="124" t="s">
        <v>97</v>
      </c>
      <c r="O222" s="209"/>
      <c r="P222" s="379"/>
      <c r="Q222" s="380"/>
      <c r="R222" s="201" t="s">
        <v>97</v>
      </c>
      <c r="S222" s="113" t="s">
        <v>72</v>
      </c>
      <c r="T222" s="113" t="s">
        <v>134</v>
      </c>
      <c r="U222" s="132"/>
      <c r="V222" s="114" t="s">
        <v>74</v>
      </c>
      <c r="W222" s="127"/>
      <c r="X222" s="109"/>
      <c r="Y222" s="120"/>
      <c r="Z222" s="124"/>
      <c r="AA222" s="139"/>
    </row>
    <row r="223" spans="1:27" ht="15.75" thickBot="1" x14ac:dyDescent="0.3">
      <c r="A223" s="31">
        <v>129</v>
      </c>
      <c r="B223" s="193"/>
      <c r="C223" s="190" t="s">
        <v>97</v>
      </c>
      <c r="D223" s="107" t="s">
        <v>97</v>
      </c>
      <c r="E223" s="209" t="s">
        <v>97</v>
      </c>
      <c r="F223" s="92"/>
      <c r="G223" s="373" t="s">
        <v>97</v>
      </c>
      <c r="H223" s="374"/>
      <c r="I223" s="374"/>
      <c r="J223" s="108" t="s">
        <v>97</v>
      </c>
      <c r="K223" s="109" t="s">
        <v>97</v>
      </c>
      <c r="L223" s="120" t="s">
        <v>97</v>
      </c>
      <c r="M223" s="136" t="s">
        <v>97</v>
      </c>
      <c r="N223" s="124" t="s">
        <v>97</v>
      </c>
      <c r="O223" s="209"/>
      <c r="P223" s="379"/>
      <c r="Q223" s="380"/>
      <c r="R223" s="201" t="s">
        <v>97</v>
      </c>
      <c r="S223" s="113" t="s">
        <v>72</v>
      </c>
      <c r="T223" s="113" t="s">
        <v>134</v>
      </c>
      <c r="U223" s="132"/>
      <c r="V223" s="114" t="s">
        <v>74</v>
      </c>
      <c r="W223" s="127"/>
      <c r="X223" s="109"/>
      <c r="Y223" s="120"/>
      <c r="Z223" s="124"/>
      <c r="AA223" s="139"/>
    </row>
    <row r="224" spans="1:27" ht="15.75" thickBot="1" x14ac:dyDescent="0.3">
      <c r="A224" s="31">
        <v>130</v>
      </c>
      <c r="B224" s="193"/>
      <c r="C224" s="190" t="s">
        <v>97</v>
      </c>
      <c r="D224" s="107" t="s">
        <v>97</v>
      </c>
      <c r="E224" s="209" t="s">
        <v>97</v>
      </c>
      <c r="F224" s="92"/>
      <c r="G224" s="373" t="s">
        <v>97</v>
      </c>
      <c r="H224" s="374"/>
      <c r="I224" s="374"/>
      <c r="J224" s="108" t="s">
        <v>97</v>
      </c>
      <c r="K224" s="109" t="s">
        <v>97</v>
      </c>
      <c r="L224" s="120" t="s">
        <v>97</v>
      </c>
      <c r="M224" s="136" t="s">
        <v>97</v>
      </c>
      <c r="N224" s="124" t="s">
        <v>97</v>
      </c>
      <c r="O224" s="208"/>
      <c r="P224" s="379"/>
      <c r="Q224" s="380"/>
      <c r="R224" s="201" t="s">
        <v>97</v>
      </c>
      <c r="S224" s="113" t="s">
        <v>72</v>
      </c>
      <c r="T224" s="113" t="s">
        <v>134</v>
      </c>
      <c r="U224" s="132"/>
      <c r="V224" s="114" t="s">
        <v>74</v>
      </c>
      <c r="W224" s="127"/>
      <c r="X224" s="109"/>
      <c r="Y224" s="120"/>
      <c r="Z224" s="124"/>
      <c r="AA224" s="139"/>
    </row>
    <row r="225" spans="1:27" ht="15.75" thickBot="1" x14ac:dyDescent="0.3">
      <c r="A225" s="31">
        <v>131</v>
      </c>
      <c r="B225" s="193"/>
      <c r="C225" s="187"/>
      <c r="D225" s="104"/>
      <c r="E225" s="208"/>
      <c r="F225" s="91"/>
      <c r="G225" s="381"/>
      <c r="H225" s="382"/>
      <c r="I225" s="382"/>
      <c r="J225" s="105"/>
      <c r="K225" s="106"/>
      <c r="L225" s="119"/>
      <c r="M225" s="135"/>
      <c r="N225" s="123"/>
      <c r="O225" s="208"/>
      <c r="P225" s="410"/>
      <c r="Q225" s="411"/>
      <c r="R225" s="199"/>
      <c r="S225" s="113" t="s">
        <v>72</v>
      </c>
      <c r="T225" s="113" t="s">
        <v>134</v>
      </c>
      <c r="U225" s="132"/>
      <c r="V225" s="114" t="s">
        <v>74</v>
      </c>
      <c r="W225" s="105"/>
      <c r="X225" s="117"/>
      <c r="Y225" s="119"/>
      <c r="Z225" s="130"/>
      <c r="AA225" s="138"/>
    </row>
    <row r="226" spans="1:27" ht="15.75" thickBot="1" x14ac:dyDescent="0.3">
      <c r="A226" s="31">
        <v>132</v>
      </c>
      <c r="B226" s="193"/>
      <c r="C226" s="187"/>
      <c r="D226" s="104"/>
      <c r="E226" s="208"/>
      <c r="F226" s="91"/>
      <c r="G226" s="381"/>
      <c r="H226" s="382"/>
      <c r="I226" s="382"/>
      <c r="J226" s="105"/>
      <c r="K226" s="106"/>
      <c r="L226" s="119"/>
      <c r="M226" s="135"/>
      <c r="N226" s="123"/>
      <c r="O226" s="208"/>
      <c r="P226" s="410"/>
      <c r="Q226" s="411"/>
      <c r="R226" s="199"/>
      <c r="S226" s="113" t="s">
        <v>72</v>
      </c>
      <c r="T226" s="113" t="s">
        <v>134</v>
      </c>
      <c r="U226" s="132"/>
      <c r="V226" s="114" t="s">
        <v>74</v>
      </c>
      <c r="W226" s="105"/>
      <c r="X226" s="117"/>
      <c r="Y226" s="119"/>
      <c r="Z226" s="130"/>
      <c r="AA226" s="138"/>
    </row>
    <row r="227" spans="1:27" ht="15.75" thickBot="1" x14ac:dyDescent="0.3">
      <c r="A227" s="31">
        <v>133</v>
      </c>
      <c r="B227" s="193"/>
      <c r="C227" s="187"/>
      <c r="D227" s="104"/>
      <c r="E227" s="208"/>
      <c r="F227" s="91"/>
      <c r="G227" s="381"/>
      <c r="H227" s="382"/>
      <c r="I227" s="382"/>
      <c r="J227" s="105"/>
      <c r="K227" s="106"/>
      <c r="L227" s="119"/>
      <c r="M227" s="135"/>
      <c r="N227" s="123"/>
      <c r="O227" s="208"/>
      <c r="P227" s="410"/>
      <c r="Q227" s="411"/>
      <c r="R227" s="199"/>
      <c r="S227" s="113" t="s">
        <v>72</v>
      </c>
      <c r="T227" s="113" t="s">
        <v>134</v>
      </c>
      <c r="U227" s="132"/>
      <c r="V227" s="114" t="s">
        <v>74</v>
      </c>
      <c r="W227" s="105"/>
      <c r="X227" s="117"/>
      <c r="Y227" s="119"/>
      <c r="Z227" s="130"/>
      <c r="AA227" s="138"/>
    </row>
    <row r="228" spans="1:27" ht="15.75" thickBot="1" x14ac:dyDescent="0.3">
      <c r="A228" s="31">
        <v>134</v>
      </c>
      <c r="B228" s="193"/>
      <c r="C228" s="187"/>
      <c r="D228" s="104"/>
      <c r="E228" s="208"/>
      <c r="F228" s="91"/>
      <c r="G228" s="381"/>
      <c r="H228" s="382"/>
      <c r="I228" s="382"/>
      <c r="J228" s="105"/>
      <c r="K228" s="106"/>
      <c r="L228" s="119"/>
      <c r="M228" s="135"/>
      <c r="N228" s="123"/>
      <c r="O228" s="208"/>
      <c r="P228" s="410"/>
      <c r="Q228" s="411"/>
      <c r="R228" s="199"/>
      <c r="S228" s="113" t="s">
        <v>72</v>
      </c>
      <c r="T228" s="113" t="s">
        <v>134</v>
      </c>
      <c r="U228" s="132"/>
      <c r="V228" s="114" t="s">
        <v>74</v>
      </c>
      <c r="W228" s="105"/>
      <c r="X228" s="117"/>
      <c r="Y228" s="119"/>
      <c r="Z228" s="130"/>
      <c r="AA228" s="123"/>
    </row>
    <row r="229" spans="1:27" ht="15.75" thickBot="1" x14ac:dyDescent="0.3">
      <c r="A229" s="31">
        <v>135</v>
      </c>
      <c r="B229" s="193"/>
      <c r="C229" s="187"/>
      <c r="D229" s="104"/>
      <c r="E229" s="208"/>
      <c r="F229" s="91"/>
      <c r="G229" s="381"/>
      <c r="H229" s="382"/>
      <c r="I229" s="382"/>
      <c r="J229" s="105"/>
      <c r="K229" s="106"/>
      <c r="L229" s="119"/>
      <c r="M229" s="135"/>
      <c r="N229" s="123"/>
      <c r="O229" s="208"/>
      <c r="P229" s="410"/>
      <c r="Q229" s="411"/>
      <c r="R229" s="199"/>
      <c r="S229" s="113" t="s">
        <v>72</v>
      </c>
      <c r="T229" s="113" t="s">
        <v>134</v>
      </c>
      <c r="U229" s="132"/>
      <c r="V229" s="114" t="s">
        <v>74</v>
      </c>
      <c r="W229" s="105"/>
      <c r="X229" s="117"/>
      <c r="Y229" s="119"/>
      <c r="Z229" s="130"/>
      <c r="AA229" s="123"/>
    </row>
    <row r="230" spans="1:27" ht="15.75" thickBot="1" x14ac:dyDescent="0.3">
      <c r="A230" s="31">
        <v>136</v>
      </c>
      <c r="B230" s="193"/>
      <c r="C230" s="187"/>
      <c r="D230" s="104"/>
      <c r="E230" s="208"/>
      <c r="F230" s="91"/>
      <c r="G230" s="381"/>
      <c r="H230" s="382"/>
      <c r="I230" s="382"/>
      <c r="J230" s="105"/>
      <c r="K230" s="106"/>
      <c r="L230" s="119"/>
      <c r="M230" s="135"/>
      <c r="N230" s="123"/>
      <c r="O230" s="208"/>
      <c r="P230" s="410"/>
      <c r="Q230" s="411"/>
      <c r="R230" s="199"/>
      <c r="S230" s="113" t="s">
        <v>72</v>
      </c>
      <c r="T230" s="113" t="s">
        <v>134</v>
      </c>
      <c r="U230" s="132"/>
      <c r="V230" s="114" t="s">
        <v>74</v>
      </c>
      <c r="W230" s="105"/>
      <c r="X230" s="117"/>
      <c r="Y230" s="119"/>
      <c r="Z230" s="130"/>
      <c r="AA230" s="138"/>
    </row>
    <row r="231" spans="1:27" ht="15.75" thickBot="1" x14ac:dyDescent="0.3">
      <c r="A231" s="31">
        <v>137</v>
      </c>
      <c r="B231" s="193"/>
      <c r="C231" s="187"/>
      <c r="D231" s="104"/>
      <c r="E231" s="208"/>
      <c r="F231" s="91"/>
      <c r="G231" s="381"/>
      <c r="H231" s="382"/>
      <c r="I231" s="382"/>
      <c r="J231" s="105"/>
      <c r="K231" s="106"/>
      <c r="L231" s="119"/>
      <c r="M231" s="135"/>
      <c r="N231" s="123"/>
      <c r="O231" s="209"/>
      <c r="P231" s="410"/>
      <c r="Q231" s="411"/>
      <c r="R231" s="199"/>
      <c r="S231" s="113" t="s">
        <v>72</v>
      </c>
      <c r="T231" s="113" t="s">
        <v>134</v>
      </c>
      <c r="U231" s="132"/>
      <c r="V231" s="114" t="s">
        <v>74</v>
      </c>
      <c r="W231" s="105"/>
      <c r="X231" s="117"/>
      <c r="Y231" s="119"/>
      <c r="Z231" s="130"/>
      <c r="AA231" s="123"/>
    </row>
    <row r="232" spans="1:27" ht="15.75" thickBot="1" x14ac:dyDescent="0.3">
      <c r="A232" s="31">
        <v>138</v>
      </c>
      <c r="B232" s="193"/>
      <c r="C232" s="187"/>
      <c r="D232" s="104"/>
      <c r="E232" s="209"/>
      <c r="F232" s="92"/>
      <c r="G232" s="373"/>
      <c r="H232" s="374"/>
      <c r="I232" s="374"/>
      <c r="J232" s="108"/>
      <c r="K232" s="109"/>
      <c r="L232" s="120"/>
      <c r="M232" s="136"/>
      <c r="N232" s="124"/>
      <c r="O232" s="209"/>
      <c r="P232" s="379"/>
      <c r="Q232" s="380"/>
      <c r="R232" s="199"/>
      <c r="S232" s="113" t="s">
        <v>72</v>
      </c>
      <c r="T232" s="113" t="s">
        <v>134</v>
      </c>
      <c r="U232" s="132"/>
      <c r="V232" s="114" t="s">
        <v>74</v>
      </c>
      <c r="W232" s="127"/>
      <c r="X232" s="109"/>
      <c r="Y232" s="120"/>
      <c r="Z232" s="124"/>
      <c r="AA232" s="139"/>
    </row>
    <row r="233" spans="1:27" ht="15.75" thickBot="1" x14ac:dyDescent="0.3">
      <c r="A233" s="31">
        <v>139</v>
      </c>
      <c r="B233" s="193"/>
      <c r="C233" s="190"/>
      <c r="D233" s="107"/>
      <c r="E233" s="209"/>
      <c r="F233" s="92"/>
      <c r="G233" s="373"/>
      <c r="H233" s="374"/>
      <c r="I233" s="374"/>
      <c r="J233" s="108"/>
      <c r="K233" s="109"/>
      <c r="L233" s="120"/>
      <c r="M233" s="136"/>
      <c r="N233" s="124"/>
      <c r="O233" s="209"/>
      <c r="P233" s="379"/>
      <c r="Q233" s="380"/>
      <c r="R233" s="202"/>
      <c r="S233" s="113" t="s">
        <v>72</v>
      </c>
      <c r="T233" s="113" t="s">
        <v>134</v>
      </c>
      <c r="U233" s="132"/>
      <c r="V233" s="114" t="s">
        <v>74</v>
      </c>
      <c r="W233" s="127"/>
      <c r="X233" s="109"/>
      <c r="Y233" s="120"/>
      <c r="Z233" s="124"/>
      <c r="AA233" s="139"/>
    </row>
    <row r="234" spans="1:27" ht="15.75" thickBot="1" x14ac:dyDescent="0.3">
      <c r="A234" s="31">
        <v>140</v>
      </c>
      <c r="B234" s="193"/>
      <c r="C234" s="190"/>
      <c r="D234" s="107"/>
      <c r="E234" s="209"/>
      <c r="F234" s="92"/>
      <c r="G234" s="373"/>
      <c r="H234" s="374"/>
      <c r="I234" s="374"/>
      <c r="J234" s="108"/>
      <c r="K234" s="109"/>
      <c r="L234" s="120"/>
      <c r="M234" s="136"/>
      <c r="N234" s="124"/>
      <c r="O234" s="209"/>
      <c r="P234" s="379"/>
      <c r="Q234" s="380"/>
      <c r="R234" s="202"/>
      <c r="S234" s="113" t="s">
        <v>72</v>
      </c>
      <c r="T234" s="113" t="s">
        <v>134</v>
      </c>
      <c r="U234" s="132"/>
      <c r="V234" s="114" t="s">
        <v>74</v>
      </c>
      <c r="W234" s="127"/>
      <c r="X234" s="109"/>
      <c r="Y234" s="120"/>
      <c r="Z234" s="124"/>
      <c r="AA234" s="139"/>
    </row>
    <row r="235" spans="1:27" ht="15.75" thickBot="1" x14ac:dyDescent="0.3">
      <c r="A235" s="31">
        <v>141</v>
      </c>
      <c r="B235" s="193"/>
      <c r="C235" s="190"/>
      <c r="D235" s="107"/>
      <c r="E235" s="209"/>
      <c r="F235" s="92"/>
      <c r="G235" s="373"/>
      <c r="H235" s="374"/>
      <c r="I235" s="374"/>
      <c r="J235" s="108"/>
      <c r="K235" s="109"/>
      <c r="L235" s="120"/>
      <c r="M235" s="136"/>
      <c r="N235" s="124"/>
      <c r="O235" s="209"/>
      <c r="P235" s="379"/>
      <c r="Q235" s="380"/>
      <c r="R235" s="202"/>
      <c r="S235" s="113" t="s">
        <v>72</v>
      </c>
      <c r="T235" s="113" t="s">
        <v>134</v>
      </c>
      <c r="U235" s="132"/>
      <c r="V235" s="114" t="s">
        <v>74</v>
      </c>
      <c r="W235" s="127"/>
      <c r="X235" s="109"/>
      <c r="Y235" s="120"/>
      <c r="Z235" s="124"/>
      <c r="AA235" s="139"/>
    </row>
    <row r="236" spans="1:27" ht="15.75" thickBot="1" x14ac:dyDescent="0.3">
      <c r="A236" s="31">
        <v>142</v>
      </c>
      <c r="B236" s="193"/>
      <c r="C236" s="190"/>
      <c r="D236" s="107"/>
      <c r="E236" s="209"/>
      <c r="F236" s="92"/>
      <c r="G236" s="373"/>
      <c r="H236" s="374"/>
      <c r="I236" s="374"/>
      <c r="J236" s="108"/>
      <c r="K236" s="109"/>
      <c r="L236" s="120"/>
      <c r="M236" s="136"/>
      <c r="N236" s="124"/>
      <c r="O236" s="209"/>
      <c r="P236" s="379"/>
      <c r="Q236" s="380"/>
      <c r="R236" s="202"/>
      <c r="S236" s="113" t="s">
        <v>72</v>
      </c>
      <c r="T236" s="113" t="s">
        <v>134</v>
      </c>
      <c r="U236" s="132"/>
      <c r="V236" s="114" t="s">
        <v>74</v>
      </c>
      <c r="W236" s="127"/>
      <c r="X236" s="109"/>
      <c r="Y236" s="120"/>
      <c r="Z236" s="124"/>
      <c r="AA236" s="139"/>
    </row>
    <row r="237" spans="1:27" ht="15.75" thickBot="1" x14ac:dyDescent="0.3">
      <c r="A237" s="31">
        <v>143</v>
      </c>
      <c r="B237" s="193"/>
      <c r="C237" s="190"/>
      <c r="D237" s="107"/>
      <c r="E237" s="209"/>
      <c r="F237" s="92"/>
      <c r="G237" s="373"/>
      <c r="H237" s="374"/>
      <c r="I237" s="374"/>
      <c r="J237" s="108"/>
      <c r="K237" s="109"/>
      <c r="L237" s="120"/>
      <c r="M237" s="136"/>
      <c r="N237" s="124"/>
      <c r="O237" s="209"/>
      <c r="P237" s="379"/>
      <c r="Q237" s="380"/>
      <c r="R237" s="202"/>
      <c r="S237" s="113" t="s">
        <v>72</v>
      </c>
      <c r="T237" s="113" t="s">
        <v>134</v>
      </c>
      <c r="U237" s="132"/>
      <c r="V237" s="114" t="s">
        <v>74</v>
      </c>
      <c r="W237" s="127"/>
      <c r="X237" s="109"/>
      <c r="Y237" s="120"/>
      <c r="Z237" s="124"/>
      <c r="AA237" s="139"/>
    </row>
    <row r="238" spans="1:27" ht="15.75" thickBot="1" x14ac:dyDescent="0.3">
      <c r="A238" s="31">
        <v>144</v>
      </c>
      <c r="B238" s="193"/>
      <c r="C238" s="190"/>
      <c r="D238" s="107"/>
      <c r="E238" s="209"/>
      <c r="F238" s="92"/>
      <c r="G238" s="373"/>
      <c r="H238" s="374"/>
      <c r="I238" s="374"/>
      <c r="J238" s="108"/>
      <c r="K238" s="109"/>
      <c r="L238" s="120"/>
      <c r="M238" s="136"/>
      <c r="N238" s="124"/>
      <c r="O238" s="209"/>
      <c r="P238" s="379"/>
      <c r="Q238" s="380"/>
      <c r="R238" s="202"/>
      <c r="S238" s="113" t="s">
        <v>72</v>
      </c>
      <c r="T238" s="113" t="s">
        <v>134</v>
      </c>
      <c r="U238" s="132"/>
      <c r="V238" s="114" t="s">
        <v>74</v>
      </c>
      <c r="W238" s="127"/>
      <c r="X238" s="109"/>
      <c r="Y238" s="120"/>
      <c r="Z238" s="124"/>
      <c r="AA238" s="139"/>
    </row>
    <row r="239" spans="1:27" ht="15.75" thickBot="1" x14ac:dyDescent="0.3">
      <c r="A239" s="31">
        <v>145</v>
      </c>
      <c r="B239" s="193"/>
      <c r="C239" s="190"/>
      <c r="D239" s="107"/>
      <c r="E239" s="209"/>
      <c r="F239" s="92"/>
      <c r="G239" s="373"/>
      <c r="H239" s="374"/>
      <c r="I239" s="374"/>
      <c r="J239" s="108"/>
      <c r="K239" s="109"/>
      <c r="L239" s="120"/>
      <c r="M239" s="136"/>
      <c r="N239" s="124"/>
      <c r="O239" s="209"/>
      <c r="P239" s="379"/>
      <c r="Q239" s="380"/>
      <c r="R239" s="202"/>
      <c r="S239" s="113" t="s">
        <v>72</v>
      </c>
      <c r="T239" s="113" t="s">
        <v>134</v>
      </c>
      <c r="U239" s="132"/>
      <c r="V239" s="114" t="s">
        <v>74</v>
      </c>
      <c r="W239" s="127"/>
      <c r="X239" s="109"/>
      <c r="Y239" s="120"/>
      <c r="Z239" s="124"/>
      <c r="AA239" s="139"/>
    </row>
    <row r="240" spans="1:27" ht="15.75" thickBot="1" x14ac:dyDescent="0.3">
      <c r="A240" s="31">
        <v>146</v>
      </c>
      <c r="B240" s="193"/>
      <c r="C240" s="190"/>
      <c r="D240" s="107"/>
      <c r="E240" s="209"/>
      <c r="F240" s="92"/>
      <c r="G240" s="373"/>
      <c r="H240" s="374"/>
      <c r="I240" s="374"/>
      <c r="J240" s="108"/>
      <c r="K240" s="109"/>
      <c r="L240" s="120"/>
      <c r="M240" s="136"/>
      <c r="N240" s="124"/>
      <c r="O240" s="209"/>
      <c r="P240" s="379"/>
      <c r="Q240" s="380"/>
      <c r="R240" s="202"/>
      <c r="S240" s="113" t="s">
        <v>72</v>
      </c>
      <c r="T240" s="113" t="s">
        <v>134</v>
      </c>
      <c r="U240" s="132"/>
      <c r="V240" s="114" t="s">
        <v>74</v>
      </c>
      <c r="W240" s="127"/>
      <c r="X240" s="109"/>
      <c r="Y240" s="120"/>
      <c r="Z240" s="124"/>
      <c r="AA240" s="139"/>
    </row>
    <row r="241" spans="1:27" ht="15.75" thickBot="1" x14ac:dyDescent="0.3">
      <c r="A241" s="31">
        <v>147</v>
      </c>
      <c r="B241" s="193"/>
      <c r="C241" s="190"/>
      <c r="D241" s="107"/>
      <c r="E241" s="209"/>
      <c r="F241" s="92"/>
      <c r="G241" s="373"/>
      <c r="H241" s="374"/>
      <c r="I241" s="374"/>
      <c r="J241" s="108"/>
      <c r="K241" s="109"/>
      <c r="L241" s="120"/>
      <c r="M241" s="136"/>
      <c r="N241" s="124"/>
      <c r="O241" s="209"/>
      <c r="P241" s="379"/>
      <c r="Q241" s="380"/>
      <c r="R241" s="202"/>
      <c r="S241" s="113" t="s">
        <v>72</v>
      </c>
      <c r="T241" s="113" t="s">
        <v>134</v>
      </c>
      <c r="U241" s="132"/>
      <c r="V241" s="114" t="s">
        <v>74</v>
      </c>
      <c r="W241" s="127"/>
      <c r="X241" s="109"/>
      <c r="Y241" s="120"/>
      <c r="Z241" s="124"/>
      <c r="AA241" s="139"/>
    </row>
    <row r="242" spans="1:27" ht="15.75" thickBot="1" x14ac:dyDescent="0.3">
      <c r="A242" s="31">
        <v>148</v>
      </c>
      <c r="B242" s="193"/>
      <c r="C242" s="190"/>
      <c r="D242" s="107"/>
      <c r="E242" s="209"/>
      <c r="F242" s="92"/>
      <c r="G242" s="373"/>
      <c r="H242" s="374"/>
      <c r="I242" s="374"/>
      <c r="J242" s="108"/>
      <c r="K242" s="109"/>
      <c r="L242" s="120"/>
      <c r="M242" s="136"/>
      <c r="N242" s="124"/>
      <c r="O242" s="209"/>
      <c r="P242" s="379"/>
      <c r="Q242" s="380"/>
      <c r="R242" s="202"/>
      <c r="S242" s="113" t="s">
        <v>72</v>
      </c>
      <c r="T242" s="113" t="s">
        <v>134</v>
      </c>
      <c r="U242" s="132"/>
      <c r="V242" s="114" t="s">
        <v>74</v>
      </c>
      <c r="W242" s="127"/>
      <c r="X242" s="109"/>
      <c r="Y242" s="120"/>
      <c r="Z242" s="124"/>
      <c r="AA242" s="139"/>
    </row>
    <row r="243" spans="1:27" ht="15.75" thickBot="1" x14ac:dyDescent="0.3">
      <c r="A243" s="31">
        <v>149</v>
      </c>
      <c r="B243" s="193"/>
      <c r="C243" s="190"/>
      <c r="D243" s="107"/>
      <c r="E243" s="209"/>
      <c r="F243" s="92"/>
      <c r="G243" s="373"/>
      <c r="H243" s="374"/>
      <c r="I243" s="374"/>
      <c r="J243" s="108"/>
      <c r="K243" s="109"/>
      <c r="L243" s="120"/>
      <c r="M243" s="136"/>
      <c r="N243" s="124"/>
      <c r="O243" s="209"/>
      <c r="P243" s="379"/>
      <c r="Q243" s="380"/>
      <c r="R243" s="202"/>
      <c r="S243" s="113" t="s">
        <v>72</v>
      </c>
      <c r="T243" s="113" t="s">
        <v>134</v>
      </c>
      <c r="U243" s="132"/>
      <c r="V243" s="114" t="s">
        <v>74</v>
      </c>
      <c r="W243" s="127"/>
      <c r="X243" s="109"/>
      <c r="Y243" s="120"/>
      <c r="Z243" s="124"/>
      <c r="AA243" s="139"/>
    </row>
    <row r="244" spans="1:27" ht="15.75" thickBot="1" x14ac:dyDescent="0.3">
      <c r="A244" s="31">
        <v>150</v>
      </c>
      <c r="B244" s="193"/>
      <c r="C244" s="190"/>
      <c r="D244" s="107"/>
      <c r="E244" s="209"/>
      <c r="F244" s="92"/>
      <c r="G244" s="373"/>
      <c r="H244" s="374"/>
      <c r="I244" s="374"/>
      <c r="J244" s="108"/>
      <c r="K244" s="109"/>
      <c r="L244" s="120"/>
      <c r="M244" s="136"/>
      <c r="N244" s="124"/>
      <c r="O244" s="209"/>
      <c r="P244" s="379"/>
      <c r="Q244" s="380"/>
      <c r="R244" s="202"/>
      <c r="S244" s="113" t="s">
        <v>72</v>
      </c>
      <c r="T244" s="113" t="s">
        <v>134</v>
      </c>
      <c r="U244" s="132"/>
      <c r="V244" s="114" t="s">
        <v>74</v>
      </c>
      <c r="W244" s="127"/>
      <c r="X244" s="109"/>
      <c r="Y244" s="120"/>
      <c r="Z244" s="124"/>
      <c r="AA244" s="139"/>
    </row>
    <row r="245" spans="1:27" ht="15.75" thickBot="1" x14ac:dyDescent="0.3">
      <c r="A245" s="31">
        <v>151</v>
      </c>
      <c r="B245" s="193"/>
      <c r="C245" s="190"/>
      <c r="D245" s="107"/>
      <c r="E245" s="209"/>
      <c r="F245" s="92"/>
      <c r="G245" s="373"/>
      <c r="H245" s="374"/>
      <c r="I245" s="374"/>
      <c r="J245" s="108"/>
      <c r="K245" s="109"/>
      <c r="L245" s="120"/>
      <c r="M245" s="136"/>
      <c r="N245" s="124"/>
      <c r="O245" s="209"/>
      <c r="P245" s="379"/>
      <c r="Q245" s="380"/>
      <c r="R245" s="202"/>
      <c r="S245" s="113" t="s">
        <v>72</v>
      </c>
      <c r="T245" s="113" t="s">
        <v>134</v>
      </c>
      <c r="U245" s="132"/>
      <c r="V245" s="114" t="s">
        <v>74</v>
      </c>
      <c r="W245" s="127"/>
      <c r="X245" s="109"/>
      <c r="Y245" s="120"/>
      <c r="Z245" s="124"/>
      <c r="AA245" s="139"/>
    </row>
    <row r="246" spans="1:27" ht="15.75" thickBot="1" x14ac:dyDescent="0.3">
      <c r="A246" s="31">
        <v>152</v>
      </c>
      <c r="B246" s="193"/>
      <c r="C246" s="190"/>
      <c r="D246" s="107"/>
      <c r="E246" s="209"/>
      <c r="F246" s="92"/>
      <c r="G246" s="373"/>
      <c r="H246" s="374"/>
      <c r="I246" s="374"/>
      <c r="J246" s="108"/>
      <c r="K246" s="109"/>
      <c r="L246" s="120"/>
      <c r="M246" s="136"/>
      <c r="N246" s="124"/>
      <c r="O246" s="209"/>
      <c r="P246" s="379"/>
      <c r="Q246" s="380"/>
      <c r="R246" s="202"/>
      <c r="S246" s="113" t="s">
        <v>72</v>
      </c>
      <c r="T246" s="113" t="s">
        <v>134</v>
      </c>
      <c r="U246" s="132"/>
      <c r="V246" s="114" t="s">
        <v>74</v>
      </c>
      <c r="W246" s="127"/>
      <c r="X246" s="109"/>
      <c r="Y246" s="120"/>
      <c r="Z246" s="124"/>
      <c r="AA246" s="139"/>
    </row>
    <row r="247" spans="1:27" ht="15.75" thickBot="1" x14ac:dyDescent="0.3">
      <c r="A247" s="31">
        <v>153</v>
      </c>
      <c r="B247" s="193"/>
      <c r="C247" s="190"/>
      <c r="D247" s="107"/>
      <c r="E247" s="209"/>
      <c r="F247" s="92"/>
      <c r="G247" s="373"/>
      <c r="H247" s="374"/>
      <c r="I247" s="374"/>
      <c r="J247" s="108"/>
      <c r="K247" s="109"/>
      <c r="L247" s="120"/>
      <c r="M247" s="136"/>
      <c r="N247" s="124"/>
      <c r="O247" s="209"/>
      <c r="P247" s="379"/>
      <c r="Q247" s="380"/>
      <c r="R247" s="202"/>
      <c r="S247" s="113" t="s">
        <v>72</v>
      </c>
      <c r="T247" s="113" t="s">
        <v>134</v>
      </c>
      <c r="U247" s="132"/>
      <c r="V247" s="114" t="s">
        <v>74</v>
      </c>
      <c r="W247" s="127"/>
      <c r="X247" s="109"/>
      <c r="Y247" s="120"/>
      <c r="Z247" s="124"/>
      <c r="AA247" s="139"/>
    </row>
    <row r="248" spans="1:27" ht="15.75" thickBot="1" x14ac:dyDescent="0.3">
      <c r="A248" s="31">
        <v>154</v>
      </c>
      <c r="B248" s="193"/>
      <c r="C248" s="190"/>
      <c r="D248" s="107"/>
      <c r="E248" s="209"/>
      <c r="F248" s="92"/>
      <c r="G248" s="373"/>
      <c r="H248" s="374"/>
      <c r="I248" s="374"/>
      <c r="J248" s="108"/>
      <c r="K248" s="109"/>
      <c r="L248" s="120"/>
      <c r="M248" s="136"/>
      <c r="N248" s="124"/>
      <c r="O248" s="209"/>
      <c r="P248" s="379"/>
      <c r="Q248" s="380"/>
      <c r="R248" s="202"/>
      <c r="S248" s="113" t="s">
        <v>72</v>
      </c>
      <c r="T248" s="113" t="s">
        <v>134</v>
      </c>
      <c r="U248" s="132"/>
      <c r="V248" s="114" t="s">
        <v>74</v>
      </c>
      <c r="W248" s="127"/>
      <c r="X248" s="109"/>
      <c r="Y248" s="120"/>
      <c r="Z248" s="124"/>
      <c r="AA248" s="139"/>
    </row>
    <row r="249" spans="1:27" ht="15.75" thickBot="1" x14ac:dyDescent="0.3">
      <c r="A249" s="31">
        <v>155</v>
      </c>
      <c r="B249" s="193"/>
      <c r="C249" s="190"/>
      <c r="D249" s="107"/>
      <c r="E249" s="209"/>
      <c r="F249" s="92"/>
      <c r="G249" s="373"/>
      <c r="H249" s="374"/>
      <c r="I249" s="374"/>
      <c r="J249" s="108"/>
      <c r="K249" s="109"/>
      <c r="L249" s="120"/>
      <c r="M249" s="136"/>
      <c r="N249" s="124"/>
      <c r="O249" s="209"/>
      <c r="P249" s="379"/>
      <c r="Q249" s="380"/>
      <c r="R249" s="202"/>
      <c r="S249" s="113" t="s">
        <v>72</v>
      </c>
      <c r="T249" s="113" t="s">
        <v>134</v>
      </c>
      <c r="U249" s="132"/>
      <c r="V249" s="114" t="s">
        <v>74</v>
      </c>
      <c r="W249" s="127"/>
      <c r="X249" s="109"/>
      <c r="Y249" s="120"/>
      <c r="Z249" s="124"/>
      <c r="AA249" s="139"/>
    </row>
    <row r="250" spans="1:27" ht="15.75" thickBot="1" x14ac:dyDescent="0.3">
      <c r="A250" s="31">
        <v>156</v>
      </c>
      <c r="B250" s="193"/>
      <c r="C250" s="190"/>
      <c r="D250" s="107"/>
      <c r="E250" s="209"/>
      <c r="F250" s="92"/>
      <c r="G250" s="373"/>
      <c r="H250" s="374"/>
      <c r="I250" s="374"/>
      <c r="J250" s="108"/>
      <c r="K250" s="109"/>
      <c r="L250" s="120"/>
      <c r="M250" s="136"/>
      <c r="N250" s="124"/>
      <c r="O250" s="209"/>
      <c r="P250" s="379"/>
      <c r="Q250" s="380"/>
      <c r="R250" s="202"/>
      <c r="S250" s="113" t="s">
        <v>72</v>
      </c>
      <c r="T250" s="113" t="s">
        <v>134</v>
      </c>
      <c r="U250" s="132"/>
      <c r="V250" s="114" t="s">
        <v>74</v>
      </c>
      <c r="W250" s="127"/>
      <c r="X250" s="109"/>
      <c r="Y250" s="120"/>
      <c r="Z250" s="124"/>
      <c r="AA250" s="139"/>
    </row>
    <row r="251" spans="1:27" ht="15.75" thickBot="1" x14ac:dyDescent="0.3">
      <c r="A251" s="31">
        <v>157</v>
      </c>
      <c r="B251" s="193"/>
      <c r="C251" s="190"/>
      <c r="D251" s="107"/>
      <c r="E251" s="209"/>
      <c r="F251" s="92"/>
      <c r="G251" s="373"/>
      <c r="H251" s="374"/>
      <c r="I251" s="374"/>
      <c r="J251" s="108"/>
      <c r="K251" s="109"/>
      <c r="L251" s="120"/>
      <c r="M251" s="136"/>
      <c r="N251" s="124"/>
      <c r="O251" s="209"/>
      <c r="P251" s="379"/>
      <c r="Q251" s="380"/>
      <c r="R251" s="202"/>
      <c r="S251" s="113" t="s">
        <v>72</v>
      </c>
      <c r="T251" s="113" t="s">
        <v>134</v>
      </c>
      <c r="U251" s="132"/>
      <c r="V251" s="114" t="s">
        <v>74</v>
      </c>
      <c r="W251" s="127"/>
      <c r="X251" s="109"/>
      <c r="Y251" s="120"/>
      <c r="Z251" s="124"/>
      <c r="AA251" s="139"/>
    </row>
    <row r="252" spans="1:27" ht="15.75" thickBot="1" x14ac:dyDescent="0.3">
      <c r="A252" s="31">
        <v>158</v>
      </c>
      <c r="B252" s="193"/>
      <c r="C252" s="190"/>
      <c r="D252" s="107"/>
      <c r="E252" s="209"/>
      <c r="F252" s="92"/>
      <c r="G252" s="373"/>
      <c r="H252" s="374"/>
      <c r="I252" s="374"/>
      <c r="J252" s="108"/>
      <c r="K252" s="109"/>
      <c r="L252" s="120"/>
      <c r="M252" s="136"/>
      <c r="N252" s="124"/>
      <c r="O252" s="209"/>
      <c r="P252" s="379"/>
      <c r="Q252" s="380"/>
      <c r="R252" s="202"/>
      <c r="S252" s="113" t="s">
        <v>72</v>
      </c>
      <c r="T252" s="113" t="s">
        <v>134</v>
      </c>
      <c r="U252" s="132"/>
      <c r="V252" s="114" t="s">
        <v>74</v>
      </c>
      <c r="W252" s="127"/>
      <c r="X252" s="109"/>
      <c r="Y252" s="120"/>
      <c r="Z252" s="124"/>
      <c r="AA252" s="139"/>
    </row>
    <row r="253" spans="1:27" ht="15.75" thickBot="1" x14ac:dyDescent="0.3">
      <c r="A253" s="31">
        <v>159</v>
      </c>
      <c r="B253" s="193"/>
      <c r="C253" s="190"/>
      <c r="D253" s="107"/>
      <c r="E253" s="209"/>
      <c r="F253" s="92"/>
      <c r="G253" s="373"/>
      <c r="H253" s="374"/>
      <c r="I253" s="374"/>
      <c r="J253" s="108"/>
      <c r="K253" s="109"/>
      <c r="L253" s="120"/>
      <c r="M253" s="136"/>
      <c r="N253" s="124"/>
      <c r="O253" s="209"/>
      <c r="P253" s="379"/>
      <c r="Q253" s="380"/>
      <c r="R253" s="202"/>
      <c r="S253" s="113" t="s">
        <v>72</v>
      </c>
      <c r="T253" s="113" t="s">
        <v>134</v>
      </c>
      <c r="U253" s="132"/>
      <c r="V253" s="114" t="s">
        <v>74</v>
      </c>
      <c r="W253" s="127"/>
      <c r="X253" s="109"/>
      <c r="Y253" s="120"/>
      <c r="Z253" s="124"/>
      <c r="AA253" s="139"/>
    </row>
    <row r="254" spans="1:27" ht="15.75" thickBot="1" x14ac:dyDescent="0.3">
      <c r="A254" s="31">
        <v>160</v>
      </c>
      <c r="B254" s="193"/>
      <c r="C254" s="190"/>
      <c r="D254" s="107"/>
      <c r="E254" s="209"/>
      <c r="F254" s="92"/>
      <c r="G254" s="373"/>
      <c r="H254" s="374"/>
      <c r="I254" s="374"/>
      <c r="J254" s="108"/>
      <c r="K254" s="109"/>
      <c r="L254" s="120"/>
      <c r="M254" s="136"/>
      <c r="N254" s="124"/>
      <c r="O254" s="209"/>
      <c r="P254" s="379"/>
      <c r="Q254" s="380"/>
      <c r="R254" s="202"/>
      <c r="S254" s="113" t="s">
        <v>72</v>
      </c>
      <c r="T254" s="113" t="s">
        <v>134</v>
      </c>
      <c r="U254" s="132"/>
      <c r="V254" s="114" t="s">
        <v>74</v>
      </c>
      <c r="W254" s="127"/>
      <c r="X254" s="109"/>
      <c r="Y254" s="120"/>
      <c r="Z254" s="124"/>
      <c r="AA254" s="139"/>
    </row>
    <row r="255" spans="1:27" ht="15.75" thickBot="1" x14ac:dyDescent="0.3">
      <c r="A255" s="31">
        <v>161</v>
      </c>
      <c r="B255" s="193"/>
      <c r="C255" s="190"/>
      <c r="D255" s="107"/>
      <c r="E255" s="209"/>
      <c r="F255" s="92"/>
      <c r="G255" s="373"/>
      <c r="H255" s="374"/>
      <c r="I255" s="374"/>
      <c r="J255" s="108"/>
      <c r="K255" s="109"/>
      <c r="L255" s="120"/>
      <c r="M255" s="136"/>
      <c r="N255" s="124"/>
      <c r="O255" s="209"/>
      <c r="P255" s="379"/>
      <c r="Q255" s="380"/>
      <c r="R255" s="202"/>
      <c r="S255" s="113" t="s">
        <v>72</v>
      </c>
      <c r="T255" s="113" t="s">
        <v>134</v>
      </c>
      <c r="U255" s="132"/>
      <c r="V255" s="114" t="s">
        <v>74</v>
      </c>
      <c r="W255" s="127"/>
      <c r="X255" s="109"/>
      <c r="Y255" s="120"/>
      <c r="Z255" s="124"/>
      <c r="AA255" s="139"/>
    </row>
    <row r="256" spans="1:27" ht="15.75" thickBot="1" x14ac:dyDescent="0.3">
      <c r="A256" s="31">
        <v>162</v>
      </c>
      <c r="B256" s="193"/>
      <c r="C256" s="190"/>
      <c r="D256" s="107"/>
      <c r="E256" s="209"/>
      <c r="F256" s="92"/>
      <c r="G256" s="373"/>
      <c r="H256" s="374"/>
      <c r="I256" s="374"/>
      <c r="J256" s="108"/>
      <c r="K256" s="109"/>
      <c r="L256" s="120"/>
      <c r="M256" s="136"/>
      <c r="N256" s="124"/>
      <c r="O256" s="209"/>
      <c r="P256" s="379"/>
      <c r="Q256" s="380"/>
      <c r="R256" s="202"/>
      <c r="S256" s="113" t="s">
        <v>72</v>
      </c>
      <c r="T256" s="113" t="s">
        <v>134</v>
      </c>
      <c r="U256" s="132"/>
      <c r="V256" s="114" t="s">
        <v>74</v>
      </c>
      <c r="W256" s="127"/>
      <c r="X256" s="109"/>
      <c r="Y256" s="120"/>
      <c r="Z256" s="124"/>
      <c r="AA256" s="139"/>
    </row>
    <row r="257" spans="1:27" ht="15.75" thickBot="1" x14ac:dyDescent="0.3">
      <c r="A257" s="31">
        <v>163</v>
      </c>
      <c r="B257" s="193"/>
      <c r="C257" s="190"/>
      <c r="D257" s="107"/>
      <c r="E257" s="209"/>
      <c r="F257" s="92"/>
      <c r="G257" s="373"/>
      <c r="H257" s="374"/>
      <c r="I257" s="374"/>
      <c r="J257" s="108"/>
      <c r="K257" s="109"/>
      <c r="L257" s="120"/>
      <c r="M257" s="136"/>
      <c r="N257" s="124"/>
      <c r="O257" s="209"/>
      <c r="P257" s="379"/>
      <c r="Q257" s="380"/>
      <c r="R257" s="202"/>
      <c r="S257" s="113" t="s">
        <v>72</v>
      </c>
      <c r="T257" s="113" t="s">
        <v>134</v>
      </c>
      <c r="U257" s="132"/>
      <c r="V257" s="114" t="s">
        <v>74</v>
      </c>
      <c r="W257" s="127"/>
      <c r="X257" s="109"/>
      <c r="Y257" s="120"/>
      <c r="Z257" s="124"/>
      <c r="AA257" s="139"/>
    </row>
    <row r="258" spans="1:27" ht="15.75" thickBot="1" x14ac:dyDescent="0.3">
      <c r="A258" s="31">
        <v>164</v>
      </c>
      <c r="B258" s="193"/>
      <c r="C258" s="190"/>
      <c r="D258" s="107"/>
      <c r="E258" s="209"/>
      <c r="F258" s="92"/>
      <c r="G258" s="373"/>
      <c r="H258" s="374"/>
      <c r="I258" s="374"/>
      <c r="J258" s="108"/>
      <c r="K258" s="109"/>
      <c r="L258" s="120"/>
      <c r="M258" s="136"/>
      <c r="N258" s="124"/>
      <c r="O258" s="209"/>
      <c r="P258" s="379"/>
      <c r="Q258" s="380"/>
      <c r="R258" s="202"/>
      <c r="S258" s="113" t="s">
        <v>72</v>
      </c>
      <c r="T258" s="113" t="s">
        <v>134</v>
      </c>
      <c r="U258" s="132"/>
      <c r="V258" s="114" t="s">
        <v>74</v>
      </c>
      <c r="W258" s="127"/>
      <c r="X258" s="109"/>
      <c r="Y258" s="120"/>
      <c r="Z258" s="124"/>
      <c r="AA258" s="139"/>
    </row>
    <row r="259" spans="1:27" ht="15.75" thickBot="1" x14ac:dyDescent="0.3">
      <c r="A259" s="31">
        <v>165</v>
      </c>
      <c r="B259" s="193"/>
      <c r="C259" s="190"/>
      <c r="D259" s="107"/>
      <c r="E259" s="209"/>
      <c r="F259" s="92"/>
      <c r="G259" s="373"/>
      <c r="H259" s="374"/>
      <c r="I259" s="374"/>
      <c r="J259" s="108"/>
      <c r="K259" s="109"/>
      <c r="L259" s="120"/>
      <c r="M259" s="136"/>
      <c r="N259" s="124"/>
      <c r="O259" s="209"/>
      <c r="P259" s="379"/>
      <c r="Q259" s="380"/>
      <c r="R259" s="202"/>
      <c r="S259" s="113" t="s">
        <v>72</v>
      </c>
      <c r="T259" s="113" t="s">
        <v>134</v>
      </c>
      <c r="U259" s="132"/>
      <c r="V259" s="114" t="s">
        <v>74</v>
      </c>
      <c r="W259" s="127"/>
      <c r="X259" s="109"/>
      <c r="Y259" s="120"/>
      <c r="Z259" s="124"/>
      <c r="AA259" s="139"/>
    </row>
    <row r="260" spans="1:27" ht="15.75" thickBot="1" x14ac:dyDescent="0.3">
      <c r="A260" s="31">
        <v>166</v>
      </c>
      <c r="B260" s="193"/>
      <c r="C260" s="190"/>
      <c r="D260" s="107"/>
      <c r="E260" s="209"/>
      <c r="F260" s="92"/>
      <c r="G260" s="373"/>
      <c r="H260" s="374"/>
      <c r="I260" s="374"/>
      <c r="J260" s="108"/>
      <c r="K260" s="109"/>
      <c r="L260" s="120"/>
      <c r="M260" s="136"/>
      <c r="N260" s="124"/>
      <c r="O260" s="209"/>
      <c r="P260" s="379"/>
      <c r="Q260" s="380"/>
      <c r="R260" s="202"/>
      <c r="S260" s="113" t="s">
        <v>72</v>
      </c>
      <c r="T260" s="113" t="s">
        <v>134</v>
      </c>
      <c r="U260" s="132"/>
      <c r="V260" s="114" t="s">
        <v>74</v>
      </c>
      <c r="W260" s="127"/>
      <c r="X260" s="109"/>
      <c r="Y260" s="120"/>
      <c r="Z260" s="124"/>
      <c r="AA260" s="139"/>
    </row>
    <row r="261" spans="1:27" ht="15.75" thickBot="1" x14ac:dyDescent="0.3">
      <c r="A261" s="31">
        <v>167</v>
      </c>
      <c r="B261" s="193"/>
      <c r="C261" s="190"/>
      <c r="D261" s="107"/>
      <c r="E261" s="209"/>
      <c r="F261" s="92"/>
      <c r="G261" s="373"/>
      <c r="H261" s="374"/>
      <c r="I261" s="374"/>
      <c r="J261" s="108"/>
      <c r="K261" s="109"/>
      <c r="L261" s="120"/>
      <c r="M261" s="136"/>
      <c r="N261" s="124"/>
      <c r="O261" s="209"/>
      <c r="P261" s="379"/>
      <c r="Q261" s="380"/>
      <c r="R261" s="202"/>
      <c r="S261" s="113" t="s">
        <v>72</v>
      </c>
      <c r="T261" s="113" t="s">
        <v>134</v>
      </c>
      <c r="U261" s="132"/>
      <c r="V261" s="114" t="s">
        <v>74</v>
      </c>
      <c r="W261" s="127"/>
      <c r="X261" s="109"/>
      <c r="Y261" s="120"/>
      <c r="Z261" s="124"/>
      <c r="AA261" s="139"/>
    </row>
    <row r="262" spans="1:27" ht="15.75" thickBot="1" x14ac:dyDescent="0.3">
      <c r="A262" s="31">
        <v>168</v>
      </c>
      <c r="B262" s="193"/>
      <c r="C262" s="190"/>
      <c r="D262" s="107"/>
      <c r="E262" s="209"/>
      <c r="F262" s="92"/>
      <c r="G262" s="373"/>
      <c r="H262" s="374"/>
      <c r="I262" s="374"/>
      <c r="J262" s="108"/>
      <c r="K262" s="109"/>
      <c r="L262" s="120"/>
      <c r="M262" s="136"/>
      <c r="N262" s="124"/>
      <c r="O262" s="209"/>
      <c r="P262" s="379"/>
      <c r="Q262" s="380"/>
      <c r="R262" s="202"/>
      <c r="S262" s="113" t="s">
        <v>72</v>
      </c>
      <c r="T262" s="113" t="s">
        <v>134</v>
      </c>
      <c r="U262" s="132"/>
      <c r="V262" s="114" t="s">
        <v>74</v>
      </c>
      <c r="W262" s="127"/>
      <c r="X262" s="109"/>
      <c r="Y262" s="120"/>
      <c r="Z262" s="124"/>
      <c r="AA262" s="139"/>
    </row>
    <row r="263" spans="1:27" ht="15.75" thickBot="1" x14ac:dyDescent="0.3">
      <c r="A263" s="31">
        <v>169</v>
      </c>
      <c r="B263" s="193"/>
      <c r="C263" s="190"/>
      <c r="D263" s="107"/>
      <c r="E263" s="209"/>
      <c r="F263" s="92"/>
      <c r="G263" s="373"/>
      <c r="H263" s="374"/>
      <c r="I263" s="374"/>
      <c r="J263" s="108"/>
      <c r="K263" s="109"/>
      <c r="L263" s="120"/>
      <c r="M263" s="136"/>
      <c r="N263" s="124"/>
      <c r="O263" s="209"/>
      <c r="P263" s="379"/>
      <c r="Q263" s="380"/>
      <c r="R263" s="202"/>
      <c r="S263" s="113" t="s">
        <v>72</v>
      </c>
      <c r="T263" s="113" t="s">
        <v>134</v>
      </c>
      <c r="U263" s="132"/>
      <c r="V263" s="114" t="s">
        <v>74</v>
      </c>
      <c r="W263" s="127"/>
      <c r="X263" s="109"/>
      <c r="Y263" s="120"/>
      <c r="Z263" s="124"/>
      <c r="AA263" s="139"/>
    </row>
    <row r="264" spans="1:27" ht="15.75" thickBot="1" x14ac:dyDescent="0.3">
      <c r="A264" s="31">
        <v>170</v>
      </c>
      <c r="B264" s="193"/>
      <c r="C264" s="190"/>
      <c r="D264" s="107"/>
      <c r="E264" s="209"/>
      <c r="F264" s="92"/>
      <c r="G264" s="373"/>
      <c r="H264" s="374"/>
      <c r="I264" s="374"/>
      <c r="J264" s="108"/>
      <c r="K264" s="109"/>
      <c r="L264" s="120"/>
      <c r="M264" s="136"/>
      <c r="N264" s="124"/>
      <c r="O264" s="209"/>
      <c r="P264" s="379"/>
      <c r="Q264" s="380"/>
      <c r="R264" s="202"/>
      <c r="S264" s="113" t="s">
        <v>72</v>
      </c>
      <c r="T264" s="113" t="s">
        <v>134</v>
      </c>
      <c r="U264" s="132"/>
      <c r="V264" s="114" t="s">
        <v>74</v>
      </c>
      <c r="W264" s="127"/>
      <c r="X264" s="109"/>
      <c r="Y264" s="120"/>
      <c r="Z264" s="124"/>
      <c r="AA264" s="139"/>
    </row>
    <row r="265" spans="1:27" ht="15.75" thickBot="1" x14ac:dyDescent="0.3">
      <c r="A265" s="31">
        <v>171</v>
      </c>
      <c r="B265" s="193"/>
      <c r="C265" s="190"/>
      <c r="D265" s="107"/>
      <c r="E265" s="209"/>
      <c r="F265" s="92"/>
      <c r="G265" s="373"/>
      <c r="H265" s="374"/>
      <c r="I265" s="374"/>
      <c r="J265" s="108"/>
      <c r="K265" s="109"/>
      <c r="L265" s="120"/>
      <c r="M265" s="136"/>
      <c r="N265" s="124"/>
      <c r="O265" s="209"/>
      <c r="P265" s="379"/>
      <c r="Q265" s="380"/>
      <c r="R265" s="202"/>
      <c r="S265" s="113" t="s">
        <v>72</v>
      </c>
      <c r="T265" s="113" t="s">
        <v>134</v>
      </c>
      <c r="U265" s="132"/>
      <c r="V265" s="114" t="s">
        <v>74</v>
      </c>
      <c r="W265" s="127"/>
      <c r="X265" s="109"/>
      <c r="Y265" s="120"/>
      <c r="Z265" s="124"/>
      <c r="AA265" s="139"/>
    </row>
    <row r="266" spans="1:27" ht="15.75" thickBot="1" x14ac:dyDescent="0.3">
      <c r="A266" s="31">
        <v>172</v>
      </c>
      <c r="B266" s="193"/>
      <c r="C266" s="190"/>
      <c r="D266" s="107"/>
      <c r="E266" s="209"/>
      <c r="F266" s="92"/>
      <c r="G266" s="373"/>
      <c r="H266" s="374"/>
      <c r="I266" s="374"/>
      <c r="J266" s="108"/>
      <c r="K266" s="109"/>
      <c r="L266" s="120"/>
      <c r="M266" s="136"/>
      <c r="N266" s="124"/>
      <c r="O266" s="209"/>
      <c r="P266" s="379"/>
      <c r="Q266" s="380"/>
      <c r="R266" s="202"/>
      <c r="S266" s="113" t="s">
        <v>72</v>
      </c>
      <c r="T266" s="113" t="s">
        <v>134</v>
      </c>
      <c r="U266" s="132"/>
      <c r="V266" s="114" t="s">
        <v>74</v>
      </c>
      <c r="W266" s="127"/>
      <c r="X266" s="109"/>
      <c r="Y266" s="120"/>
      <c r="Z266" s="124"/>
      <c r="AA266" s="139"/>
    </row>
    <row r="267" spans="1:27" ht="15.75" thickBot="1" x14ac:dyDescent="0.3">
      <c r="A267" s="31">
        <v>173</v>
      </c>
      <c r="B267" s="193"/>
      <c r="C267" s="190"/>
      <c r="D267" s="107"/>
      <c r="E267" s="209"/>
      <c r="F267" s="92"/>
      <c r="G267" s="373"/>
      <c r="H267" s="374"/>
      <c r="I267" s="374"/>
      <c r="J267" s="108"/>
      <c r="K267" s="109"/>
      <c r="L267" s="120"/>
      <c r="M267" s="136"/>
      <c r="N267" s="124"/>
      <c r="O267" s="209"/>
      <c r="P267" s="379"/>
      <c r="Q267" s="380"/>
      <c r="R267" s="202"/>
      <c r="S267" s="113" t="s">
        <v>72</v>
      </c>
      <c r="T267" s="113" t="s">
        <v>134</v>
      </c>
      <c r="U267" s="132"/>
      <c r="V267" s="114" t="s">
        <v>74</v>
      </c>
      <c r="W267" s="127"/>
      <c r="X267" s="109"/>
      <c r="Y267" s="120"/>
      <c r="Z267" s="124"/>
      <c r="AA267" s="139"/>
    </row>
    <row r="268" spans="1:27" ht="15.75" thickBot="1" x14ac:dyDescent="0.3">
      <c r="A268" s="31">
        <v>174</v>
      </c>
      <c r="B268" s="193"/>
      <c r="C268" s="190"/>
      <c r="D268" s="107"/>
      <c r="E268" s="209"/>
      <c r="F268" s="92"/>
      <c r="G268" s="373"/>
      <c r="H268" s="374"/>
      <c r="I268" s="374"/>
      <c r="J268" s="108"/>
      <c r="K268" s="109"/>
      <c r="L268" s="120"/>
      <c r="M268" s="136"/>
      <c r="N268" s="124"/>
      <c r="O268" s="209"/>
      <c r="P268" s="379"/>
      <c r="Q268" s="380"/>
      <c r="R268" s="202"/>
      <c r="S268" s="113" t="s">
        <v>72</v>
      </c>
      <c r="T268" s="113" t="s">
        <v>134</v>
      </c>
      <c r="U268" s="132"/>
      <c r="V268" s="114" t="s">
        <v>74</v>
      </c>
      <c r="W268" s="127"/>
      <c r="X268" s="109"/>
      <c r="Y268" s="120"/>
      <c r="Z268" s="124"/>
      <c r="AA268" s="139"/>
    </row>
    <row r="269" spans="1:27" ht="15.75" thickBot="1" x14ac:dyDescent="0.3">
      <c r="A269" s="31">
        <v>175</v>
      </c>
      <c r="B269" s="193"/>
      <c r="C269" s="190"/>
      <c r="D269" s="107"/>
      <c r="E269" s="209"/>
      <c r="F269" s="92"/>
      <c r="G269" s="373"/>
      <c r="H269" s="374"/>
      <c r="I269" s="374"/>
      <c r="J269" s="108"/>
      <c r="K269" s="109"/>
      <c r="L269" s="120"/>
      <c r="M269" s="136"/>
      <c r="N269" s="124"/>
      <c r="O269" s="209"/>
      <c r="P269" s="379"/>
      <c r="Q269" s="380"/>
      <c r="R269" s="202"/>
      <c r="S269" s="113" t="s">
        <v>72</v>
      </c>
      <c r="T269" s="113" t="s">
        <v>134</v>
      </c>
      <c r="U269" s="132"/>
      <c r="V269" s="114" t="s">
        <v>74</v>
      </c>
      <c r="W269" s="127"/>
      <c r="X269" s="109"/>
      <c r="Y269" s="120"/>
      <c r="Z269" s="124"/>
      <c r="AA269" s="139"/>
    </row>
    <row r="270" spans="1:27" ht="15.75" thickBot="1" x14ac:dyDescent="0.3">
      <c r="A270" s="31">
        <v>176</v>
      </c>
      <c r="B270" s="193"/>
      <c r="C270" s="190"/>
      <c r="D270" s="107"/>
      <c r="E270" s="209"/>
      <c r="F270" s="92"/>
      <c r="G270" s="373"/>
      <c r="H270" s="374"/>
      <c r="I270" s="374"/>
      <c r="J270" s="108"/>
      <c r="K270" s="109"/>
      <c r="L270" s="120"/>
      <c r="M270" s="136"/>
      <c r="N270" s="124"/>
      <c r="O270" s="209"/>
      <c r="P270" s="379"/>
      <c r="Q270" s="380"/>
      <c r="R270" s="202"/>
      <c r="S270" s="113" t="s">
        <v>72</v>
      </c>
      <c r="T270" s="113" t="s">
        <v>134</v>
      </c>
      <c r="U270" s="132"/>
      <c r="V270" s="114" t="s">
        <v>74</v>
      </c>
      <c r="W270" s="127"/>
      <c r="X270" s="109"/>
      <c r="Y270" s="120"/>
      <c r="Z270" s="124"/>
      <c r="AA270" s="139"/>
    </row>
    <row r="271" spans="1:27" ht="15.75" thickBot="1" x14ac:dyDescent="0.3">
      <c r="A271" s="31">
        <v>177</v>
      </c>
      <c r="B271" s="193"/>
      <c r="C271" s="190"/>
      <c r="D271" s="107"/>
      <c r="E271" s="209"/>
      <c r="F271" s="92"/>
      <c r="G271" s="373"/>
      <c r="H271" s="374"/>
      <c r="I271" s="374"/>
      <c r="J271" s="108"/>
      <c r="K271" s="109"/>
      <c r="L271" s="120"/>
      <c r="M271" s="136"/>
      <c r="N271" s="124"/>
      <c r="O271" s="209"/>
      <c r="P271" s="379"/>
      <c r="Q271" s="380"/>
      <c r="R271" s="202"/>
      <c r="S271" s="113" t="s">
        <v>72</v>
      </c>
      <c r="T271" s="113" t="s">
        <v>134</v>
      </c>
      <c r="U271" s="132"/>
      <c r="V271" s="114" t="s">
        <v>74</v>
      </c>
      <c r="W271" s="127"/>
      <c r="X271" s="109"/>
      <c r="Y271" s="120"/>
      <c r="Z271" s="124"/>
      <c r="AA271" s="139"/>
    </row>
    <row r="272" spans="1:27" ht="15.75" thickBot="1" x14ac:dyDescent="0.3">
      <c r="A272" s="31">
        <v>178</v>
      </c>
      <c r="B272" s="193"/>
      <c r="C272" s="190"/>
      <c r="D272" s="107"/>
      <c r="E272" s="209"/>
      <c r="F272" s="92"/>
      <c r="G272" s="373"/>
      <c r="H272" s="374"/>
      <c r="I272" s="374"/>
      <c r="J272" s="108"/>
      <c r="K272" s="109"/>
      <c r="L272" s="120"/>
      <c r="M272" s="136"/>
      <c r="N272" s="124"/>
      <c r="O272" s="209"/>
      <c r="P272" s="379"/>
      <c r="Q272" s="380"/>
      <c r="R272" s="202"/>
      <c r="S272" s="113" t="s">
        <v>72</v>
      </c>
      <c r="T272" s="113" t="s">
        <v>134</v>
      </c>
      <c r="U272" s="132"/>
      <c r="V272" s="114" t="s">
        <v>74</v>
      </c>
      <c r="W272" s="127"/>
      <c r="X272" s="109"/>
      <c r="Y272" s="120"/>
      <c r="Z272" s="124"/>
      <c r="AA272" s="139"/>
    </row>
    <row r="273" spans="1:27" ht="15.75" thickBot="1" x14ac:dyDescent="0.3">
      <c r="A273" s="31">
        <v>179</v>
      </c>
      <c r="B273" s="193"/>
      <c r="C273" s="190"/>
      <c r="D273" s="107"/>
      <c r="E273" s="209"/>
      <c r="F273" s="92"/>
      <c r="G273" s="373"/>
      <c r="H273" s="374"/>
      <c r="I273" s="374"/>
      <c r="J273" s="108"/>
      <c r="K273" s="109"/>
      <c r="L273" s="120"/>
      <c r="M273" s="136"/>
      <c r="N273" s="124"/>
      <c r="O273" s="209"/>
      <c r="P273" s="379"/>
      <c r="Q273" s="380"/>
      <c r="R273" s="202"/>
      <c r="S273" s="113" t="s">
        <v>72</v>
      </c>
      <c r="T273" s="113" t="s">
        <v>134</v>
      </c>
      <c r="U273" s="132"/>
      <c r="V273" s="114" t="s">
        <v>74</v>
      </c>
      <c r="W273" s="127"/>
      <c r="X273" s="109"/>
      <c r="Y273" s="120"/>
      <c r="Z273" s="124"/>
      <c r="AA273" s="139"/>
    </row>
    <row r="274" spans="1:27" ht="15.75" thickBot="1" x14ac:dyDescent="0.3">
      <c r="A274" s="31">
        <v>180</v>
      </c>
      <c r="B274" s="193"/>
      <c r="C274" s="190"/>
      <c r="D274" s="107"/>
      <c r="E274" s="209"/>
      <c r="F274" s="92"/>
      <c r="G274" s="373"/>
      <c r="H274" s="374"/>
      <c r="I274" s="374"/>
      <c r="J274" s="108"/>
      <c r="K274" s="109"/>
      <c r="L274" s="120"/>
      <c r="M274" s="136"/>
      <c r="N274" s="124"/>
      <c r="O274" s="209"/>
      <c r="P274" s="379"/>
      <c r="Q274" s="380"/>
      <c r="R274" s="202"/>
      <c r="S274" s="113" t="s">
        <v>72</v>
      </c>
      <c r="T274" s="113" t="s">
        <v>134</v>
      </c>
      <c r="U274" s="132"/>
      <c r="V274" s="114" t="s">
        <v>74</v>
      </c>
      <c r="W274" s="127"/>
      <c r="X274" s="109"/>
      <c r="Y274" s="120"/>
      <c r="Z274" s="124"/>
      <c r="AA274" s="139"/>
    </row>
    <row r="275" spans="1:27" ht="15.75" thickBot="1" x14ac:dyDescent="0.3">
      <c r="A275" s="31">
        <v>181</v>
      </c>
      <c r="B275" s="193"/>
      <c r="C275" s="190"/>
      <c r="D275" s="107"/>
      <c r="E275" s="209"/>
      <c r="F275" s="92"/>
      <c r="G275" s="373"/>
      <c r="H275" s="374"/>
      <c r="I275" s="374"/>
      <c r="J275" s="108"/>
      <c r="K275" s="109"/>
      <c r="L275" s="120"/>
      <c r="M275" s="136"/>
      <c r="N275" s="124"/>
      <c r="O275" s="209"/>
      <c r="P275" s="379"/>
      <c r="Q275" s="380"/>
      <c r="R275" s="202"/>
      <c r="S275" s="113" t="s">
        <v>72</v>
      </c>
      <c r="T275" s="113" t="s">
        <v>134</v>
      </c>
      <c r="U275" s="132"/>
      <c r="V275" s="114" t="s">
        <v>74</v>
      </c>
      <c r="W275" s="127"/>
      <c r="X275" s="109"/>
      <c r="Y275" s="120"/>
      <c r="Z275" s="124"/>
      <c r="AA275" s="139"/>
    </row>
    <row r="276" spans="1:27" ht="15.75" thickBot="1" x14ac:dyDescent="0.3">
      <c r="A276" s="31">
        <v>182</v>
      </c>
      <c r="B276" s="193"/>
      <c r="C276" s="190"/>
      <c r="D276" s="107"/>
      <c r="E276" s="209"/>
      <c r="F276" s="92"/>
      <c r="G276" s="373"/>
      <c r="H276" s="374"/>
      <c r="I276" s="374"/>
      <c r="J276" s="108"/>
      <c r="K276" s="109"/>
      <c r="L276" s="120"/>
      <c r="M276" s="136"/>
      <c r="N276" s="124"/>
      <c r="O276" s="209"/>
      <c r="P276" s="379"/>
      <c r="Q276" s="380"/>
      <c r="R276" s="202"/>
      <c r="S276" s="113" t="s">
        <v>72</v>
      </c>
      <c r="T276" s="113" t="s">
        <v>134</v>
      </c>
      <c r="U276" s="132"/>
      <c r="V276" s="114" t="s">
        <v>74</v>
      </c>
      <c r="W276" s="127"/>
      <c r="X276" s="109"/>
      <c r="Y276" s="120"/>
      <c r="Z276" s="124"/>
      <c r="AA276" s="139"/>
    </row>
    <row r="277" spans="1:27" ht="15.75" thickBot="1" x14ac:dyDescent="0.3">
      <c r="A277" s="31">
        <v>183</v>
      </c>
      <c r="B277" s="193"/>
      <c r="C277" s="190"/>
      <c r="D277" s="107"/>
      <c r="E277" s="209"/>
      <c r="F277" s="92"/>
      <c r="G277" s="373"/>
      <c r="H277" s="374"/>
      <c r="I277" s="374"/>
      <c r="J277" s="108"/>
      <c r="K277" s="109"/>
      <c r="L277" s="120"/>
      <c r="M277" s="136"/>
      <c r="N277" s="124"/>
      <c r="O277" s="209"/>
      <c r="P277" s="379"/>
      <c r="Q277" s="380"/>
      <c r="R277" s="202"/>
      <c r="S277" s="113" t="s">
        <v>72</v>
      </c>
      <c r="T277" s="113" t="s">
        <v>134</v>
      </c>
      <c r="U277" s="132"/>
      <c r="V277" s="114" t="s">
        <v>74</v>
      </c>
      <c r="W277" s="127"/>
      <c r="X277" s="109"/>
      <c r="Y277" s="120"/>
      <c r="Z277" s="124"/>
      <c r="AA277" s="139"/>
    </row>
    <row r="278" spans="1:27" ht="15.75" thickBot="1" x14ac:dyDescent="0.3">
      <c r="A278" s="31">
        <v>184</v>
      </c>
      <c r="B278" s="193"/>
      <c r="C278" s="190"/>
      <c r="D278" s="107"/>
      <c r="E278" s="209"/>
      <c r="F278" s="92"/>
      <c r="G278" s="373"/>
      <c r="H278" s="374"/>
      <c r="I278" s="374"/>
      <c r="J278" s="108"/>
      <c r="K278" s="109"/>
      <c r="L278" s="120"/>
      <c r="M278" s="136"/>
      <c r="N278" s="124"/>
      <c r="O278" s="209"/>
      <c r="P278" s="379"/>
      <c r="Q278" s="380"/>
      <c r="R278" s="202"/>
      <c r="S278" s="113" t="s">
        <v>72</v>
      </c>
      <c r="T278" s="113" t="s">
        <v>134</v>
      </c>
      <c r="U278" s="132"/>
      <c r="V278" s="114" t="s">
        <v>74</v>
      </c>
      <c r="W278" s="127"/>
      <c r="X278" s="109"/>
      <c r="Y278" s="120"/>
      <c r="Z278" s="124"/>
      <c r="AA278" s="139"/>
    </row>
    <row r="279" spans="1:27" ht="15.75" thickBot="1" x14ac:dyDescent="0.3">
      <c r="A279" s="31">
        <v>185</v>
      </c>
      <c r="B279" s="193"/>
      <c r="C279" s="190"/>
      <c r="D279" s="107"/>
      <c r="E279" s="209"/>
      <c r="F279" s="92"/>
      <c r="G279" s="373"/>
      <c r="H279" s="374"/>
      <c r="I279" s="374"/>
      <c r="J279" s="108"/>
      <c r="K279" s="109"/>
      <c r="L279" s="120"/>
      <c r="M279" s="136"/>
      <c r="N279" s="124"/>
      <c r="O279" s="209"/>
      <c r="P279" s="379"/>
      <c r="Q279" s="380"/>
      <c r="R279" s="202"/>
      <c r="S279" s="113" t="s">
        <v>72</v>
      </c>
      <c r="T279" s="113" t="s">
        <v>134</v>
      </c>
      <c r="U279" s="132"/>
      <c r="V279" s="114" t="s">
        <v>74</v>
      </c>
      <c r="W279" s="127"/>
      <c r="X279" s="109"/>
      <c r="Y279" s="120"/>
      <c r="Z279" s="124"/>
      <c r="AA279" s="139"/>
    </row>
    <row r="280" spans="1:27" ht="15.75" thickBot="1" x14ac:dyDescent="0.3">
      <c r="A280" s="31">
        <v>186</v>
      </c>
      <c r="B280" s="193"/>
      <c r="C280" s="190"/>
      <c r="D280" s="107"/>
      <c r="E280" s="209"/>
      <c r="F280" s="92"/>
      <c r="G280" s="373"/>
      <c r="H280" s="374"/>
      <c r="I280" s="374"/>
      <c r="J280" s="108"/>
      <c r="K280" s="109"/>
      <c r="L280" s="120"/>
      <c r="M280" s="136"/>
      <c r="N280" s="124"/>
      <c r="O280" s="209"/>
      <c r="P280" s="379"/>
      <c r="Q280" s="380"/>
      <c r="R280" s="202"/>
      <c r="S280" s="113" t="s">
        <v>72</v>
      </c>
      <c r="T280" s="113" t="s">
        <v>134</v>
      </c>
      <c r="U280" s="132"/>
      <c r="V280" s="114" t="s">
        <v>74</v>
      </c>
      <c r="W280" s="127"/>
      <c r="X280" s="109"/>
      <c r="Y280" s="120"/>
      <c r="Z280" s="124"/>
      <c r="AA280" s="139"/>
    </row>
    <row r="281" spans="1:27" ht="15.75" thickBot="1" x14ac:dyDescent="0.3">
      <c r="A281" s="31">
        <v>187</v>
      </c>
      <c r="B281" s="193"/>
      <c r="C281" s="190"/>
      <c r="D281" s="107"/>
      <c r="E281" s="209"/>
      <c r="F281" s="92"/>
      <c r="G281" s="373"/>
      <c r="H281" s="374"/>
      <c r="I281" s="374"/>
      <c r="J281" s="108"/>
      <c r="K281" s="109"/>
      <c r="L281" s="120"/>
      <c r="M281" s="136"/>
      <c r="N281" s="124"/>
      <c r="O281" s="209"/>
      <c r="P281" s="379"/>
      <c r="Q281" s="380"/>
      <c r="R281" s="202"/>
      <c r="S281" s="113" t="s">
        <v>72</v>
      </c>
      <c r="T281" s="113" t="s">
        <v>134</v>
      </c>
      <c r="U281" s="132"/>
      <c r="V281" s="114" t="s">
        <v>74</v>
      </c>
      <c r="W281" s="127"/>
      <c r="X281" s="109"/>
      <c r="Y281" s="120"/>
      <c r="Z281" s="124"/>
      <c r="AA281" s="139"/>
    </row>
    <row r="282" spans="1:27" ht="15.75" thickBot="1" x14ac:dyDescent="0.3">
      <c r="A282" s="31">
        <v>188</v>
      </c>
      <c r="B282" s="193"/>
      <c r="C282" s="190"/>
      <c r="D282" s="107"/>
      <c r="E282" s="209"/>
      <c r="F282" s="92"/>
      <c r="G282" s="373"/>
      <c r="H282" s="374"/>
      <c r="I282" s="374"/>
      <c r="J282" s="108"/>
      <c r="K282" s="109"/>
      <c r="L282" s="120"/>
      <c r="M282" s="136"/>
      <c r="N282" s="124"/>
      <c r="O282" s="209"/>
      <c r="P282" s="379"/>
      <c r="Q282" s="380"/>
      <c r="R282" s="202"/>
      <c r="S282" s="113" t="s">
        <v>72</v>
      </c>
      <c r="T282" s="113" t="s">
        <v>134</v>
      </c>
      <c r="U282" s="132"/>
      <c r="V282" s="114" t="s">
        <v>74</v>
      </c>
      <c r="W282" s="127"/>
      <c r="X282" s="109"/>
      <c r="Y282" s="120"/>
      <c r="Z282" s="124"/>
      <c r="AA282" s="139"/>
    </row>
    <row r="283" spans="1:27" ht="15.75" thickBot="1" x14ac:dyDescent="0.3">
      <c r="A283" s="31">
        <v>189</v>
      </c>
      <c r="B283" s="193"/>
      <c r="C283" s="190"/>
      <c r="D283" s="107"/>
      <c r="E283" s="209"/>
      <c r="F283" s="92"/>
      <c r="G283" s="373"/>
      <c r="H283" s="374"/>
      <c r="I283" s="374"/>
      <c r="J283" s="108"/>
      <c r="K283" s="109"/>
      <c r="L283" s="120"/>
      <c r="M283" s="136"/>
      <c r="N283" s="124"/>
      <c r="O283" s="209"/>
      <c r="P283" s="379"/>
      <c r="Q283" s="380"/>
      <c r="R283" s="202"/>
      <c r="S283" s="113" t="s">
        <v>72</v>
      </c>
      <c r="T283" s="113" t="s">
        <v>134</v>
      </c>
      <c r="U283" s="132"/>
      <c r="V283" s="114" t="s">
        <v>74</v>
      </c>
      <c r="W283" s="127"/>
      <c r="X283" s="109"/>
      <c r="Y283" s="120"/>
      <c r="Z283" s="124"/>
      <c r="AA283" s="139"/>
    </row>
    <row r="284" spans="1:27" ht="15.75" thickBot="1" x14ac:dyDescent="0.3">
      <c r="A284" s="31">
        <v>190</v>
      </c>
      <c r="B284" s="193"/>
      <c r="C284" s="190"/>
      <c r="D284" s="107"/>
      <c r="E284" s="209"/>
      <c r="F284" s="92"/>
      <c r="G284" s="373"/>
      <c r="H284" s="374"/>
      <c r="I284" s="374"/>
      <c r="J284" s="108"/>
      <c r="K284" s="109"/>
      <c r="L284" s="120"/>
      <c r="M284" s="136"/>
      <c r="N284" s="124"/>
      <c r="O284" s="209"/>
      <c r="P284" s="379"/>
      <c r="Q284" s="380"/>
      <c r="R284" s="202"/>
      <c r="S284" s="113" t="s">
        <v>72</v>
      </c>
      <c r="T284" s="113" t="s">
        <v>134</v>
      </c>
      <c r="U284" s="132"/>
      <c r="V284" s="114" t="s">
        <v>74</v>
      </c>
      <c r="W284" s="127"/>
      <c r="X284" s="109"/>
      <c r="Y284" s="120"/>
      <c r="Z284" s="124"/>
      <c r="AA284" s="139"/>
    </row>
    <row r="285" spans="1:27" ht="15.75" thickBot="1" x14ac:dyDescent="0.3">
      <c r="A285" s="31">
        <v>191</v>
      </c>
      <c r="B285" s="193"/>
      <c r="C285" s="190"/>
      <c r="D285" s="107"/>
      <c r="E285" s="209"/>
      <c r="F285" s="92"/>
      <c r="G285" s="373"/>
      <c r="H285" s="374"/>
      <c r="I285" s="374"/>
      <c r="J285" s="108"/>
      <c r="K285" s="109"/>
      <c r="L285" s="120"/>
      <c r="M285" s="136"/>
      <c r="N285" s="124"/>
      <c r="O285" s="209"/>
      <c r="P285" s="379"/>
      <c r="Q285" s="380"/>
      <c r="R285" s="202"/>
      <c r="S285" s="113" t="s">
        <v>72</v>
      </c>
      <c r="T285" s="113" t="s">
        <v>134</v>
      </c>
      <c r="U285" s="132"/>
      <c r="V285" s="114" t="s">
        <v>74</v>
      </c>
      <c r="W285" s="127"/>
      <c r="X285" s="109"/>
      <c r="Y285" s="120"/>
      <c r="Z285" s="124"/>
      <c r="AA285" s="139"/>
    </row>
    <row r="286" spans="1:27" ht="15.75" thickBot="1" x14ac:dyDescent="0.3">
      <c r="A286" s="31">
        <v>192</v>
      </c>
      <c r="B286" s="193"/>
      <c r="C286" s="190"/>
      <c r="D286" s="107"/>
      <c r="E286" s="209"/>
      <c r="F286" s="92"/>
      <c r="G286" s="373"/>
      <c r="H286" s="374"/>
      <c r="I286" s="374"/>
      <c r="J286" s="108"/>
      <c r="K286" s="109"/>
      <c r="L286" s="120"/>
      <c r="M286" s="136"/>
      <c r="N286" s="124"/>
      <c r="O286" s="209"/>
      <c r="P286" s="379"/>
      <c r="Q286" s="380"/>
      <c r="R286" s="202"/>
      <c r="S286" s="113" t="s">
        <v>72</v>
      </c>
      <c r="T286" s="113" t="s">
        <v>134</v>
      </c>
      <c r="U286" s="132"/>
      <c r="V286" s="114" t="s">
        <v>74</v>
      </c>
      <c r="W286" s="127"/>
      <c r="X286" s="109"/>
      <c r="Y286" s="120"/>
      <c r="Z286" s="124"/>
      <c r="AA286" s="139"/>
    </row>
    <row r="287" spans="1:27" ht="15.75" thickBot="1" x14ac:dyDescent="0.3">
      <c r="A287" s="31">
        <v>193</v>
      </c>
      <c r="B287" s="193"/>
      <c r="C287" s="190"/>
      <c r="D287" s="107"/>
      <c r="E287" s="209"/>
      <c r="F287" s="92"/>
      <c r="G287" s="373"/>
      <c r="H287" s="374"/>
      <c r="I287" s="374"/>
      <c r="J287" s="108"/>
      <c r="K287" s="109"/>
      <c r="L287" s="120"/>
      <c r="M287" s="136"/>
      <c r="N287" s="124"/>
      <c r="O287" s="209"/>
      <c r="P287" s="379"/>
      <c r="Q287" s="380"/>
      <c r="R287" s="202"/>
      <c r="S287" s="113" t="s">
        <v>72</v>
      </c>
      <c r="T287" s="113" t="s">
        <v>134</v>
      </c>
      <c r="U287" s="132"/>
      <c r="V287" s="114" t="s">
        <v>74</v>
      </c>
      <c r="W287" s="127"/>
      <c r="X287" s="109"/>
      <c r="Y287" s="120"/>
      <c r="Z287" s="124"/>
      <c r="AA287" s="139"/>
    </row>
    <row r="288" spans="1:27" ht="15.75" thickBot="1" x14ac:dyDescent="0.3">
      <c r="A288" s="31">
        <v>194</v>
      </c>
      <c r="B288" s="193"/>
      <c r="C288" s="190"/>
      <c r="D288" s="107"/>
      <c r="E288" s="209"/>
      <c r="F288" s="92"/>
      <c r="G288" s="373"/>
      <c r="H288" s="374"/>
      <c r="I288" s="374"/>
      <c r="J288" s="108"/>
      <c r="K288" s="109"/>
      <c r="L288" s="120"/>
      <c r="M288" s="136"/>
      <c r="N288" s="124"/>
      <c r="O288" s="209"/>
      <c r="P288" s="379"/>
      <c r="Q288" s="380"/>
      <c r="R288" s="202"/>
      <c r="S288" s="113" t="s">
        <v>72</v>
      </c>
      <c r="T288" s="113" t="s">
        <v>134</v>
      </c>
      <c r="U288" s="132"/>
      <c r="V288" s="114" t="s">
        <v>74</v>
      </c>
      <c r="W288" s="127"/>
      <c r="X288" s="109"/>
      <c r="Y288" s="120"/>
      <c r="Z288" s="124"/>
      <c r="AA288" s="139"/>
    </row>
    <row r="289" spans="1:27" ht="15.75" thickBot="1" x14ac:dyDescent="0.3">
      <c r="A289" s="31">
        <v>195</v>
      </c>
      <c r="B289" s="193"/>
      <c r="C289" s="190"/>
      <c r="D289" s="107"/>
      <c r="E289" s="209"/>
      <c r="F289" s="92"/>
      <c r="G289" s="373"/>
      <c r="H289" s="374"/>
      <c r="I289" s="374"/>
      <c r="J289" s="108"/>
      <c r="K289" s="109"/>
      <c r="L289" s="120"/>
      <c r="M289" s="136"/>
      <c r="N289" s="124"/>
      <c r="O289" s="209"/>
      <c r="P289" s="379"/>
      <c r="Q289" s="380"/>
      <c r="R289" s="202"/>
      <c r="S289" s="113" t="s">
        <v>72</v>
      </c>
      <c r="T289" s="113" t="s">
        <v>134</v>
      </c>
      <c r="U289" s="132"/>
      <c r="V289" s="114" t="s">
        <v>74</v>
      </c>
      <c r="W289" s="127"/>
      <c r="X289" s="109"/>
      <c r="Y289" s="120"/>
      <c r="Z289" s="124"/>
      <c r="AA289" s="139"/>
    </row>
    <row r="290" spans="1:27" ht="15.75" thickBot="1" x14ac:dyDescent="0.3">
      <c r="A290" s="31">
        <v>196</v>
      </c>
      <c r="B290" s="193"/>
      <c r="C290" s="190"/>
      <c r="D290" s="107"/>
      <c r="E290" s="209"/>
      <c r="F290" s="92"/>
      <c r="G290" s="373"/>
      <c r="H290" s="374"/>
      <c r="I290" s="374"/>
      <c r="J290" s="108"/>
      <c r="K290" s="109"/>
      <c r="L290" s="120"/>
      <c r="M290" s="136"/>
      <c r="N290" s="124"/>
      <c r="O290" s="209"/>
      <c r="P290" s="379"/>
      <c r="Q290" s="380"/>
      <c r="R290" s="202"/>
      <c r="S290" s="113" t="s">
        <v>72</v>
      </c>
      <c r="T290" s="113" t="s">
        <v>134</v>
      </c>
      <c r="U290" s="132"/>
      <c r="V290" s="114" t="s">
        <v>74</v>
      </c>
      <c r="W290" s="127"/>
      <c r="X290" s="109"/>
      <c r="Y290" s="120"/>
      <c r="Z290" s="124"/>
      <c r="AA290" s="139"/>
    </row>
    <row r="291" spans="1:27" ht="15.75" thickBot="1" x14ac:dyDescent="0.3">
      <c r="A291" s="31">
        <v>197</v>
      </c>
      <c r="B291" s="193"/>
      <c r="C291" s="190"/>
      <c r="D291" s="107"/>
      <c r="E291" s="209"/>
      <c r="F291" s="92"/>
      <c r="G291" s="373"/>
      <c r="H291" s="374"/>
      <c r="I291" s="374"/>
      <c r="J291" s="108"/>
      <c r="K291" s="109"/>
      <c r="L291" s="120"/>
      <c r="M291" s="136"/>
      <c r="N291" s="124"/>
      <c r="O291" s="209"/>
      <c r="P291" s="379"/>
      <c r="Q291" s="380"/>
      <c r="R291" s="202"/>
      <c r="S291" s="113" t="s">
        <v>72</v>
      </c>
      <c r="T291" s="113" t="s">
        <v>134</v>
      </c>
      <c r="U291" s="132"/>
      <c r="V291" s="114" t="s">
        <v>74</v>
      </c>
      <c r="W291" s="127"/>
      <c r="X291" s="109"/>
      <c r="Y291" s="120"/>
      <c r="Z291" s="124"/>
      <c r="AA291" s="139"/>
    </row>
    <row r="292" spans="1:27" ht="15.75" thickBot="1" x14ac:dyDescent="0.3">
      <c r="A292" s="31">
        <v>198</v>
      </c>
      <c r="B292" s="193"/>
      <c r="C292" s="190"/>
      <c r="D292" s="107"/>
      <c r="E292" s="209"/>
      <c r="F292" s="92"/>
      <c r="G292" s="373"/>
      <c r="H292" s="374"/>
      <c r="I292" s="374"/>
      <c r="J292" s="108"/>
      <c r="K292" s="109"/>
      <c r="L292" s="120"/>
      <c r="M292" s="136"/>
      <c r="N292" s="124"/>
      <c r="O292" s="209"/>
      <c r="P292" s="379"/>
      <c r="Q292" s="380"/>
      <c r="R292" s="202"/>
      <c r="S292" s="113" t="s">
        <v>72</v>
      </c>
      <c r="T292" s="113" t="s">
        <v>134</v>
      </c>
      <c r="U292" s="132"/>
      <c r="V292" s="114" t="s">
        <v>74</v>
      </c>
      <c r="W292" s="127"/>
      <c r="X292" s="109"/>
      <c r="Y292" s="120"/>
      <c r="Z292" s="124"/>
      <c r="AA292" s="139"/>
    </row>
    <row r="293" spans="1:27" ht="15.75" thickBot="1" x14ac:dyDescent="0.3">
      <c r="A293" s="31">
        <v>199</v>
      </c>
      <c r="B293" s="193"/>
      <c r="C293" s="190"/>
      <c r="D293" s="107"/>
      <c r="E293" s="209"/>
      <c r="F293" s="92"/>
      <c r="G293" s="373"/>
      <c r="H293" s="374"/>
      <c r="I293" s="374"/>
      <c r="J293" s="108"/>
      <c r="K293" s="109"/>
      <c r="L293" s="120"/>
      <c r="M293" s="136"/>
      <c r="N293" s="124"/>
      <c r="O293" s="209"/>
      <c r="P293" s="379"/>
      <c r="Q293" s="380"/>
      <c r="R293" s="202"/>
      <c r="S293" s="113" t="s">
        <v>72</v>
      </c>
      <c r="T293" s="113" t="s">
        <v>134</v>
      </c>
      <c r="U293" s="132"/>
      <c r="V293" s="114" t="s">
        <v>74</v>
      </c>
      <c r="W293" s="127"/>
      <c r="X293" s="109"/>
      <c r="Y293" s="120"/>
      <c r="Z293" s="124"/>
      <c r="AA293" s="139"/>
    </row>
    <row r="294" spans="1:27" ht="15.75" thickBot="1" x14ac:dyDescent="0.3">
      <c r="A294" s="31">
        <v>200</v>
      </c>
      <c r="B294" s="193"/>
      <c r="C294" s="190"/>
      <c r="D294" s="107"/>
      <c r="E294" s="209"/>
      <c r="F294" s="92"/>
      <c r="G294" s="373"/>
      <c r="H294" s="374"/>
      <c r="I294" s="374"/>
      <c r="J294" s="108"/>
      <c r="K294" s="109"/>
      <c r="L294" s="120"/>
      <c r="M294" s="136"/>
      <c r="N294" s="124"/>
      <c r="O294" s="209"/>
      <c r="P294" s="379"/>
      <c r="Q294" s="380"/>
      <c r="R294" s="202"/>
      <c r="S294" s="113" t="s">
        <v>72</v>
      </c>
      <c r="T294" s="113" t="s">
        <v>134</v>
      </c>
      <c r="U294" s="132"/>
      <c r="V294" s="114" t="s">
        <v>74</v>
      </c>
      <c r="W294" s="127"/>
      <c r="X294" s="109"/>
      <c r="Y294" s="120"/>
      <c r="Z294" s="124"/>
      <c r="AA294" s="139"/>
    </row>
    <row r="295" spans="1:27" ht="15.75" thickBot="1" x14ac:dyDescent="0.3">
      <c r="A295" s="31">
        <v>201</v>
      </c>
      <c r="B295" s="193"/>
      <c r="C295" s="190"/>
      <c r="D295" s="107"/>
      <c r="E295" s="209"/>
      <c r="F295" s="92"/>
      <c r="G295" s="373"/>
      <c r="H295" s="374"/>
      <c r="I295" s="374"/>
      <c r="J295" s="108"/>
      <c r="K295" s="109"/>
      <c r="L295" s="120"/>
      <c r="M295" s="136"/>
      <c r="N295" s="124"/>
      <c r="O295" s="209"/>
      <c r="P295" s="379"/>
      <c r="Q295" s="380"/>
      <c r="R295" s="202"/>
      <c r="S295" s="113" t="s">
        <v>72</v>
      </c>
      <c r="T295" s="113" t="s">
        <v>134</v>
      </c>
      <c r="U295" s="132"/>
      <c r="V295" s="114" t="s">
        <v>74</v>
      </c>
      <c r="W295" s="127"/>
      <c r="X295" s="109"/>
      <c r="Y295" s="120"/>
      <c r="Z295" s="124"/>
      <c r="AA295" s="139"/>
    </row>
    <row r="296" spans="1:27" ht="15.75" thickBot="1" x14ac:dyDescent="0.3">
      <c r="A296" s="31">
        <v>202</v>
      </c>
      <c r="B296" s="193"/>
      <c r="C296" s="190"/>
      <c r="D296" s="107"/>
      <c r="E296" s="209"/>
      <c r="F296" s="92"/>
      <c r="G296" s="373"/>
      <c r="H296" s="374"/>
      <c r="I296" s="374"/>
      <c r="J296" s="108"/>
      <c r="K296" s="109"/>
      <c r="L296" s="120"/>
      <c r="M296" s="136"/>
      <c r="N296" s="124"/>
      <c r="O296" s="209"/>
      <c r="P296" s="379"/>
      <c r="Q296" s="380"/>
      <c r="R296" s="202"/>
      <c r="S296" s="113" t="s">
        <v>72</v>
      </c>
      <c r="T296" s="113" t="s">
        <v>134</v>
      </c>
      <c r="U296" s="132"/>
      <c r="V296" s="114" t="s">
        <v>74</v>
      </c>
      <c r="W296" s="127"/>
      <c r="X296" s="109"/>
      <c r="Y296" s="120"/>
      <c r="Z296" s="124"/>
      <c r="AA296" s="139"/>
    </row>
    <row r="297" spans="1:27" ht="15.75" thickBot="1" x14ac:dyDescent="0.3">
      <c r="A297" s="31">
        <v>203</v>
      </c>
      <c r="B297" s="193"/>
      <c r="C297" s="190"/>
      <c r="D297" s="107"/>
      <c r="E297" s="209"/>
      <c r="F297" s="92"/>
      <c r="G297" s="373"/>
      <c r="H297" s="374"/>
      <c r="I297" s="374"/>
      <c r="J297" s="108"/>
      <c r="K297" s="109"/>
      <c r="L297" s="120"/>
      <c r="M297" s="136"/>
      <c r="N297" s="124"/>
      <c r="O297" s="209"/>
      <c r="P297" s="379"/>
      <c r="Q297" s="380"/>
      <c r="R297" s="202"/>
      <c r="S297" s="113" t="s">
        <v>72</v>
      </c>
      <c r="T297" s="113" t="s">
        <v>134</v>
      </c>
      <c r="U297" s="132"/>
      <c r="V297" s="114" t="s">
        <v>74</v>
      </c>
      <c r="W297" s="127"/>
      <c r="X297" s="109"/>
      <c r="Y297" s="120"/>
      <c r="Z297" s="124"/>
      <c r="AA297" s="139"/>
    </row>
    <row r="298" spans="1:27" ht="15.75" thickBot="1" x14ac:dyDescent="0.3">
      <c r="A298" s="31">
        <v>204</v>
      </c>
      <c r="B298" s="193"/>
      <c r="C298" s="190"/>
      <c r="D298" s="107"/>
      <c r="E298" s="209"/>
      <c r="F298" s="92"/>
      <c r="G298" s="373"/>
      <c r="H298" s="374"/>
      <c r="I298" s="374"/>
      <c r="J298" s="108"/>
      <c r="K298" s="109"/>
      <c r="L298" s="120"/>
      <c r="M298" s="136"/>
      <c r="N298" s="124"/>
      <c r="O298" s="209"/>
      <c r="P298" s="379"/>
      <c r="Q298" s="380"/>
      <c r="R298" s="202"/>
      <c r="S298" s="113" t="s">
        <v>72</v>
      </c>
      <c r="T298" s="113" t="s">
        <v>134</v>
      </c>
      <c r="U298" s="132"/>
      <c r="V298" s="114" t="s">
        <v>74</v>
      </c>
      <c r="W298" s="127"/>
      <c r="X298" s="109"/>
      <c r="Y298" s="120"/>
      <c r="Z298" s="124"/>
      <c r="AA298" s="139"/>
    </row>
    <row r="299" spans="1:27" ht="15.75" thickBot="1" x14ac:dyDescent="0.3">
      <c r="A299" s="31">
        <v>205</v>
      </c>
      <c r="B299" s="193"/>
      <c r="C299" s="190"/>
      <c r="D299" s="107"/>
      <c r="E299" s="209"/>
      <c r="F299" s="92"/>
      <c r="G299" s="373"/>
      <c r="H299" s="374"/>
      <c r="I299" s="374"/>
      <c r="J299" s="108"/>
      <c r="K299" s="109"/>
      <c r="L299" s="120"/>
      <c r="M299" s="136"/>
      <c r="N299" s="124"/>
      <c r="O299" s="209"/>
      <c r="P299" s="379"/>
      <c r="Q299" s="380"/>
      <c r="R299" s="202"/>
      <c r="S299" s="113" t="s">
        <v>72</v>
      </c>
      <c r="T299" s="113" t="s">
        <v>134</v>
      </c>
      <c r="U299" s="132"/>
      <c r="V299" s="114" t="s">
        <v>74</v>
      </c>
      <c r="W299" s="127"/>
      <c r="X299" s="109"/>
      <c r="Y299" s="120"/>
      <c r="Z299" s="124"/>
      <c r="AA299" s="139"/>
    </row>
    <row r="300" spans="1:27" ht="15.75" thickBot="1" x14ac:dyDescent="0.3">
      <c r="A300" s="31">
        <v>206</v>
      </c>
      <c r="B300" s="193"/>
      <c r="C300" s="190"/>
      <c r="D300" s="107"/>
      <c r="E300" s="209"/>
      <c r="F300" s="92"/>
      <c r="G300" s="373"/>
      <c r="H300" s="374"/>
      <c r="I300" s="374"/>
      <c r="J300" s="108"/>
      <c r="K300" s="109"/>
      <c r="L300" s="120"/>
      <c r="M300" s="136"/>
      <c r="N300" s="124"/>
      <c r="O300" s="209"/>
      <c r="P300" s="379"/>
      <c r="Q300" s="380"/>
      <c r="R300" s="202"/>
      <c r="S300" s="113" t="s">
        <v>72</v>
      </c>
      <c r="T300" s="113" t="s">
        <v>134</v>
      </c>
      <c r="U300" s="132"/>
      <c r="V300" s="114" t="s">
        <v>74</v>
      </c>
      <c r="W300" s="127"/>
      <c r="X300" s="109"/>
      <c r="Y300" s="120"/>
      <c r="Z300" s="124"/>
      <c r="AA300" s="139"/>
    </row>
    <row r="301" spans="1:27" ht="15.75" thickBot="1" x14ac:dyDescent="0.3">
      <c r="A301" s="31">
        <v>207</v>
      </c>
      <c r="B301" s="193"/>
      <c r="C301" s="190"/>
      <c r="D301" s="107"/>
      <c r="E301" s="209"/>
      <c r="F301" s="92"/>
      <c r="G301" s="373"/>
      <c r="H301" s="374"/>
      <c r="I301" s="374"/>
      <c r="J301" s="108"/>
      <c r="K301" s="109"/>
      <c r="L301" s="120"/>
      <c r="M301" s="136"/>
      <c r="N301" s="124"/>
      <c r="O301" s="209"/>
      <c r="P301" s="379"/>
      <c r="Q301" s="380"/>
      <c r="R301" s="202"/>
      <c r="S301" s="113" t="s">
        <v>72</v>
      </c>
      <c r="T301" s="113" t="s">
        <v>134</v>
      </c>
      <c r="U301" s="132"/>
      <c r="V301" s="114" t="s">
        <v>74</v>
      </c>
      <c r="W301" s="127"/>
      <c r="X301" s="109"/>
      <c r="Y301" s="120"/>
      <c r="Z301" s="124"/>
      <c r="AA301" s="139"/>
    </row>
    <row r="302" spans="1:27" ht="15.75" thickBot="1" x14ac:dyDescent="0.3">
      <c r="A302" s="31">
        <v>208</v>
      </c>
      <c r="B302" s="193"/>
      <c r="C302" s="190"/>
      <c r="D302" s="107"/>
      <c r="E302" s="209"/>
      <c r="F302" s="92"/>
      <c r="G302" s="373"/>
      <c r="H302" s="374"/>
      <c r="I302" s="374"/>
      <c r="J302" s="108"/>
      <c r="K302" s="109"/>
      <c r="L302" s="120"/>
      <c r="M302" s="136"/>
      <c r="N302" s="124"/>
      <c r="O302" s="209"/>
      <c r="P302" s="379"/>
      <c r="Q302" s="380"/>
      <c r="R302" s="202"/>
      <c r="S302" s="113" t="s">
        <v>72</v>
      </c>
      <c r="T302" s="113" t="s">
        <v>134</v>
      </c>
      <c r="U302" s="132"/>
      <c r="V302" s="114" t="s">
        <v>74</v>
      </c>
      <c r="W302" s="127"/>
      <c r="X302" s="109"/>
      <c r="Y302" s="120"/>
      <c r="Z302" s="124"/>
      <c r="AA302" s="139"/>
    </row>
    <row r="303" spans="1:27" ht="15.75" thickBot="1" x14ac:dyDescent="0.3">
      <c r="A303" s="31">
        <v>209</v>
      </c>
      <c r="B303" s="193"/>
      <c r="C303" s="190"/>
      <c r="D303" s="107"/>
      <c r="E303" s="209"/>
      <c r="F303" s="92"/>
      <c r="G303" s="373"/>
      <c r="H303" s="374"/>
      <c r="I303" s="374"/>
      <c r="J303" s="108"/>
      <c r="K303" s="109"/>
      <c r="L303" s="120"/>
      <c r="M303" s="136"/>
      <c r="N303" s="124"/>
      <c r="O303" s="209"/>
      <c r="P303" s="379"/>
      <c r="Q303" s="380"/>
      <c r="R303" s="202"/>
      <c r="S303" s="113" t="s">
        <v>72</v>
      </c>
      <c r="T303" s="113" t="s">
        <v>134</v>
      </c>
      <c r="U303" s="132"/>
      <c r="V303" s="114" t="s">
        <v>74</v>
      </c>
      <c r="W303" s="127"/>
      <c r="X303" s="109"/>
      <c r="Y303" s="120"/>
      <c r="Z303" s="124"/>
      <c r="AA303" s="139"/>
    </row>
    <row r="304" spans="1:27" ht="15.75" thickBot="1" x14ac:dyDescent="0.3">
      <c r="A304" s="31">
        <v>210</v>
      </c>
      <c r="B304" s="193"/>
      <c r="C304" s="190"/>
      <c r="D304" s="107"/>
      <c r="E304" s="209"/>
      <c r="F304" s="92"/>
      <c r="G304" s="373"/>
      <c r="H304" s="374"/>
      <c r="I304" s="374"/>
      <c r="J304" s="108"/>
      <c r="K304" s="109"/>
      <c r="L304" s="120"/>
      <c r="M304" s="136"/>
      <c r="N304" s="124"/>
      <c r="O304" s="209"/>
      <c r="P304" s="379"/>
      <c r="Q304" s="380"/>
      <c r="R304" s="202"/>
      <c r="S304" s="113" t="s">
        <v>72</v>
      </c>
      <c r="T304" s="113" t="s">
        <v>134</v>
      </c>
      <c r="U304" s="132"/>
      <c r="V304" s="114" t="s">
        <v>74</v>
      </c>
      <c r="W304" s="127"/>
      <c r="X304" s="109"/>
      <c r="Y304" s="120"/>
      <c r="Z304" s="124"/>
      <c r="AA304" s="139"/>
    </row>
    <row r="305" spans="1:27" ht="15.75" thickBot="1" x14ac:dyDescent="0.3">
      <c r="A305" s="31">
        <v>211</v>
      </c>
      <c r="B305" s="193"/>
      <c r="C305" s="190"/>
      <c r="D305" s="107"/>
      <c r="E305" s="209"/>
      <c r="F305" s="92"/>
      <c r="G305" s="373"/>
      <c r="H305" s="374"/>
      <c r="I305" s="374"/>
      <c r="J305" s="108"/>
      <c r="K305" s="109"/>
      <c r="L305" s="120"/>
      <c r="M305" s="136"/>
      <c r="N305" s="124"/>
      <c r="O305" s="209"/>
      <c r="P305" s="379"/>
      <c r="Q305" s="380"/>
      <c r="R305" s="202"/>
      <c r="S305" s="113" t="s">
        <v>72</v>
      </c>
      <c r="T305" s="113" t="s">
        <v>134</v>
      </c>
      <c r="U305" s="132"/>
      <c r="V305" s="114" t="s">
        <v>74</v>
      </c>
      <c r="W305" s="127"/>
      <c r="X305" s="109"/>
      <c r="Y305" s="120"/>
      <c r="Z305" s="124"/>
      <c r="AA305" s="139"/>
    </row>
    <row r="306" spans="1:27" ht="15.75" thickBot="1" x14ac:dyDescent="0.3">
      <c r="A306" s="31">
        <v>212</v>
      </c>
      <c r="B306" s="193"/>
      <c r="C306" s="190"/>
      <c r="D306" s="107"/>
      <c r="E306" s="209"/>
      <c r="F306" s="92"/>
      <c r="G306" s="373"/>
      <c r="H306" s="374"/>
      <c r="I306" s="374"/>
      <c r="J306" s="108"/>
      <c r="K306" s="109"/>
      <c r="L306" s="120"/>
      <c r="M306" s="136"/>
      <c r="N306" s="124"/>
      <c r="O306" s="209"/>
      <c r="P306" s="379"/>
      <c r="Q306" s="380"/>
      <c r="R306" s="202"/>
      <c r="S306" s="113" t="s">
        <v>72</v>
      </c>
      <c r="T306" s="113" t="s">
        <v>134</v>
      </c>
      <c r="U306" s="132"/>
      <c r="V306" s="114" t="s">
        <v>74</v>
      </c>
      <c r="W306" s="127"/>
      <c r="X306" s="109"/>
      <c r="Y306" s="120"/>
      <c r="Z306" s="124"/>
      <c r="AA306" s="139"/>
    </row>
    <row r="307" spans="1:27" ht="15.75" thickBot="1" x14ac:dyDescent="0.3">
      <c r="A307" s="31">
        <v>213</v>
      </c>
      <c r="B307" s="193"/>
      <c r="C307" s="190"/>
      <c r="D307" s="107"/>
      <c r="E307" s="209"/>
      <c r="F307" s="92"/>
      <c r="G307" s="373"/>
      <c r="H307" s="374"/>
      <c r="I307" s="374"/>
      <c r="J307" s="108"/>
      <c r="K307" s="109"/>
      <c r="L307" s="120"/>
      <c r="M307" s="136"/>
      <c r="N307" s="124"/>
      <c r="O307" s="209"/>
      <c r="P307" s="379"/>
      <c r="Q307" s="380"/>
      <c r="R307" s="202"/>
      <c r="S307" s="113" t="s">
        <v>72</v>
      </c>
      <c r="T307" s="113" t="s">
        <v>134</v>
      </c>
      <c r="U307" s="132"/>
      <c r="V307" s="114" t="s">
        <v>74</v>
      </c>
      <c r="W307" s="127"/>
      <c r="X307" s="109"/>
      <c r="Y307" s="120"/>
      <c r="Z307" s="124"/>
      <c r="AA307" s="139"/>
    </row>
    <row r="308" spans="1:27" ht="15.75" thickBot="1" x14ac:dyDescent="0.3">
      <c r="A308" s="31">
        <v>214</v>
      </c>
      <c r="B308" s="193"/>
      <c r="C308" s="190"/>
      <c r="D308" s="107"/>
      <c r="E308" s="209"/>
      <c r="F308" s="92"/>
      <c r="G308" s="373"/>
      <c r="H308" s="374"/>
      <c r="I308" s="374"/>
      <c r="J308" s="108"/>
      <c r="K308" s="109"/>
      <c r="L308" s="120"/>
      <c r="M308" s="136"/>
      <c r="N308" s="124"/>
      <c r="O308" s="209"/>
      <c r="P308" s="379"/>
      <c r="Q308" s="380"/>
      <c r="R308" s="202"/>
      <c r="S308" s="113" t="s">
        <v>72</v>
      </c>
      <c r="T308" s="113" t="s">
        <v>134</v>
      </c>
      <c r="U308" s="132"/>
      <c r="V308" s="114" t="s">
        <v>74</v>
      </c>
      <c r="W308" s="127"/>
      <c r="X308" s="109"/>
      <c r="Y308" s="120"/>
      <c r="Z308" s="124"/>
      <c r="AA308" s="139"/>
    </row>
    <row r="309" spans="1:27" ht="15.75" thickBot="1" x14ac:dyDescent="0.3">
      <c r="A309" s="31">
        <v>215</v>
      </c>
      <c r="B309" s="193"/>
      <c r="C309" s="190"/>
      <c r="D309" s="107"/>
      <c r="E309" s="209"/>
      <c r="F309" s="92"/>
      <c r="G309" s="373"/>
      <c r="H309" s="374"/>
      <c r="I309" s="374"/>
      <c r="J309" s="108"/>
      <c r="K309" s="109"/>
      <c r="L309" s="120"/>
      <c r="M309" s="136"/>
      <c r="N309" s="124"/>
      <c r="O309" s="209"/>
      <c r="P309" s="379"/>
      <c r="Q309" s="380"/>
      <c r="R309" s="202"/>
      <c r="S309" s="113" t="s">
        <v>72</v>
      </c>
      <c r="T309" s="113" t="s">
        <v>134</v>
      </c>
      <c r="U309" s="132"/>
      <c r="V309" s="114" t="s">
        <v>74</v>
      </c>
      <c r="W309" s="127"/>
      <c r="X309" s="109"/>
      <c r="Y309" s="120"/>
      <c r="Z309" s="124"/>
      <c r="AA309" s="139"/>
    </row>
    <row r="310" spans="1:27" ht="15.75" thickBot="1" x14ac:dyDescent="0.3">
      <c r="A310" s="31">
        <v>216</v>
      </c>
      <c r="B310" s="193"/>
      <c r="C310" s="190"/>
      <c r="D310" s="107"/>
      <c r="E310" s="209"/>
      <c r="F310" s="92"/>
      <c r="G310" s="373"/>
      <c r="H310" s="374"/>
      <c r="I310" s="374"/>
      <c r="J310" s="108"/>
      <c r="K310" s="109"/>
      <c r="L310" s="120"/>
      <c r="M310" s="136"/>
      <c r="N310" s="124"/>
      <c r="O310" s="209"/>
      <c r="P310" s="379"/>
      <c r="Q310" s="380"/>
      <c r="R310" s="202"/>
      <c r="S310" s="113" t="s">
        <v>72</v>
      </c>
      <c r="T310" s="113" t="s">
        <v>134</v>
      </c>
      <c r="U310" s="132"/>
      <c r="V310" s="114" t="s">
        <v>74</v>
      </c>
      <c r="W310" s="127"/>
      <c r="X310" s="109"/>
      <c r="Y310" s="120"/>
      <c r="Z310" s="124"/>
      <c r="AA310" s="139"/>
    </row>
    <row r="311" spans="1:27" ht="15.75" thickBot="1" x14ac:dyDescent="0.3">
      <c r="A311" s="31">
        <v>217</v>
      </c>
      <c r="B311" s="193"/>
      <c r="C311" s="190"/>
      <c r="D311" s="107"/>
      <c r="E311" s="209"/>
      <c r="F311" s="92"/>
      <c r="G311" s="373"/>
      <c r="H311" s="374"/>
      <c r="I311" s="374"/>
      <c r="J311" s="108"/>
      <c r="K311" s="109"/>
      <c r="L311" s="120"/>
      <c r="M311" s="136"/>
      <c r="N311" s="124"/>
      <c r="O311" s="209"/>
      <c r="P311" s="379"/>
      <c r="Q311" s="380"/>
      <c r="R311" s="202"/>
      <c r="S311" s="113" t="s">
        <v>72</v>
      </c>
      <c r="T311" s="113" t="s">
        <v>134</v>
      </c>
      <c r="U311" s="132"/>
      <c r="V311" s="114" t="s">
        <v>74</v>
      </c>
      <c r="W311" s="127"/>
      <c r="X311" s="109"/>
      <c r="Y311" s="120"/>
      <c r="Z311" s="124"/>
      <c r="AA311" s="139"/>
    </row>
    <row r="312" spans="1:27" ht="15.75" thickBot="1" x14ac:dyDescent="0.3">
      <c r="A312" s="31">
        <v>218</v>
      </c>
      <c r="B312" s="193"/>
      <c r="C312" s="190"/>
      <c r="D312" s="107"/>
      <c r="E312" s="209"/>
      <c r="F312" s="92"/>
      <c r="G312" s="373"/>
      <c r="H312" s="374"/>
      <c r="I312" s="374"/>
      <c r="J312" s="108"/>
      <c r="K312" s="109"/>
      <c r="L312" s="120"/>
      <c r="M312" s="136"/>
      <c r="N312" s="124"/>
      <c r="O312" s="209"/>
      <c r="P312" s="379"/>
      <c r="Q312" s="380"/>
      <c r="R312" s="202"/>
      <c r="S312" s="113" t="s">
        <v>72</v>
      </c>
      <c r="T312" s="113" t="s">
        <v>134</v>
      </c>
      <c r="U312" s="132"/>
      <c r="V312" s="114" t="s">
        <v>74</v>
      </c>
      <c r="W312" s="127"/>
      <c r="X312" s="109"/>
      <c r="Y312" s="120"/>
      <c r="Z312" s="124"/>
      <c r="AA312" s="139"/>
    </row>
    <row r="313" spans="1:27" ht="15.75" thickBot="1" x14ac:dyDescent="0.3">
      <c r="A313" s="31">
        <v>219</v>
      </c>
      <c r="B313" s="193"/>
      <c r="C313" s="190"/>
      <c r="D313" s="107"/>
      <c r="E313" s="209"/>
      <c r="F313" s="92"/>
      <c r="G313" s="373"/>
      <c r="H313" s="374"/>
      <c r="I313" s="374"/>
      <c r="J313" s="108"/>
      <c r="K313" s="109"/>
      <c r="L313" s="120"/>
      <c r="M313" s="136"/>
      <c r="N313" s="124"/>
      <c r="O313" s="209"/>
      <c r="P313" s="379"/>
      <c r="Q313" s="380"/>
      <c r="R313" s="202"/>
      <c r="S313" s="113" t="s">
        <v>72</v>
      </c>
      <c r="T313" s="113" t="s">
        <v>134</v>
      </c>
      <c r="U313" s="132"/>
      <c r="V313" s="114" t="s">
        <v>74</v>
      </c>
      <c r="W313" s="127"/>
      <c r="X313" s="109"/>
      <c r="Y313" s="120"/>
      <c r="Z313" s="124"/>
      <c r="AA313" s="139"/>
    </row>
    <row r="314" spans="1:27" ht="15.75" thickBot="1" x14ac:dyDescent="0.3">
      <c r="A314" s="31">
        <v>220</v>
      </c>
      <c r="B314" s="193"/>
      <c r="C314" s="190"/>
      <c r="D314" s="107"/>
      <c r="E314" s="209"/>
      <c r="F314" s="92"/>
      <c r="G314" s="373"/>
      <c r="H314" s="374"/>
      <c r="I314" s="374"/>
      <c r="J314" s="108"/>
      <c r="K314" s="109"/>
      <c r="L314" s="120"/>
      <c r="M314" s="136"/>
      <c r="N314" s="124"/>
      <c r="O314" s="209"/>
      <c r="P314" s="379"/>
      <c r="Q314" s="380"/>
      <c r="R314" s="202"/>
      <c r="S314" s="113" t="s">
        <v>72</v>
      </c>
      <c r="T314" s="113" t="s">
        <v>134</v>
      </c>
      <c r="U314" s="132"/>
      <c r="V314" s="114" t="s">
        <v>74</v>
      </c>
      <c r="W314" s="127"/>
      <c r="X314" s="109"/>
      <c r="Y314" s="120"/>
      <c r="Z314" s="124"/>
      <c r="AA314" s="139"/>
    </row>
    <row r="315" spans="1:27" ht="15.75" thickBot="1" x14ac:dyDescent="0.3">
      <c r="A315" s="31">
        <v>221</v>
      </c>
      <c r="B315" s="193"/>
      <c r="C315" s="190"/>
      <c r="D315" s="107"/>
      <c r="E315" s="209"/>
      <c r="F315" s="92"/>
      <c r="G315" s="373"/>
      <c r="H315" s="374"/>
      <c r="I315" s="374"/>
      <c r="J315" s="108"/>
      <c r="K315" s="109"/>
      <c r="L315" s="120"/>
      <c r="M315" s="136"/>
      <c r="N315" s="124"/>
      <c r="O315" s="209"/>
      <c r="P315" s="379"/>
      <c r="Q315" s="380"/>
      <c r="R315" s="202"/>
      <c r="S315" s="113" t="s">
        <v>72</v>
      </c>
      <c r="T315" s="113" t="s">
        <v>134</v>
      </c>
      <c r="U315" s="132"/>
      <c r="V315" s="114" t="s">
        <v>74</v>
      </c>
      <c r="W315" s="127"/>
      <c r="X315" s="109"/>
      <c r="Y315" s="120"/>
      <c r="Z315" s="124"/>
      <c r="AA315" s="139"/>
    </row>
    <row r="316" spans="1:27" ht="15.75" thickBot="1" x14ac:dyDescent="0.3">
      <c r="A316" s="31">
        <v>222</v>
      </c>
      <c r="B316" s="193"/>
      <c r="C316" s="190"/>
      <c r="D316" s="107"/>
      <c r="E316" s="209"/>
      <c r="F316" s="92"/>
      <c r="G316" s="373"/>
      <c r="H316" s="374"/>
      <c r="I316" s="374"/>
      <c r="J316" s="108"/>
      <c r="K316" s="109"/>
      <c r="L316" s="120"/>
      <c r="M316" s="136"/>
      <c r="N316" s="124"/>
      <c r="O316" s="209"/>
      <c r="P316" s="379"/>
      <c r="Q316" s="380"/>
      <c r="R316" s="202"/>
      <c r="S316" s="113" t="s">
        <v>72</v>
      </c>
      <c r="T316" s="113" t="s">
        <v>134</v>
      </c>
      <c r="U316" s="132"/>
      <c r="V316" s="114" t="s">
        <v>74</v>
      </c>
      <c r="W316" s="127"/>
      <c r="X316" s="109"/>
      <c r="Y316" s="120"/>
      <c r="Z316" s="124"/>
      <c r="AA316" s="139"/>
    </row>
    <row r="317" spans="1:27" ht="15.75" thickBot="1" x14ac:dyDescent="0.3">
      <c r="A317" s="31">
        <v>223</v>
      </c>
      <c r="B317" s="193"/>
      <c r="C317" s="190"/>
      <c r="D317" s="107"/>
      <c r="E317" s="209"/>
      <c r="F317" s="92"/>
      <c r="G317" s="373"/>
      <c r="H317" s="374"/>
      <c r="I317" s="374"/>
      <c r="J317" s="108"/>
      <c r="K317" s="109"/>
      <c r="L317" s="120"/>
      <c r="M317" s="136"/>
      <c r="N317" s="124"/>
      <c r="O317" s="209"/>
      <c r="P317" s="379"/>
      <c r="Q317" s="380"/>
      <c r="R317" s="202"/>
      <c r="S317" s="113" t="s">
        <v>72</v>
      </c>
      <c r="T317" s="113" t="s">
        <v>134</v>
      </c>
      <c r="U317" s="132"/>
      <c r="V317" s="114" t="s">
        <v>74</v>
      </c>
      <c r="W317" s="127"/>
      <c r="X317" s="109"/>
      <c r="Y317" s="120"/>
      <c r="Z317" s="124"/>
      <c r="AA317" s="139"/>
    </row>
    <row r="318" spans="1:27" ht="15.75" thickBot="1" x14ac:dyDescent="0.3">
      <c r="A318" s="31">
        <v>224</v>
      </c>
      <c r="B318" s="193"/>
      <c r="C318" s="190"/>
      <c r="D318" s="107"/>
      <c r="E318" s="209"/>
      <c r="F318" s="92"/>
      <c r="G318" s="373"/>
      <c r="H318" s="374"/>
      <c r="I318" s="374"/>
      <c r="J318" s="108"/>
      <c r="K318" s="109"/>
      <c r="L318" s="120"/>
      <c r="M318" s="136"/>
      <c r="N318" s="124"/>
      <c r="O318" s="209"/>
      <c r="P318" s="379"/>
      <c r="Q318" s="380"/>
      <c r="R318" s="202"/>
      <c r="S318" s="113" t="s">
        <v>72</v>
      </c>
      <c r="T318" s="113" t="s">
        <v>134</v>
      </c>
      <c r="U318" s="132"/>
      <c r="V318" s="114" t="s">
        <v>74</v>
      </c>
      <c r="W318" s="127"/>
      <c r="X318" s="109"/>
      <c r="Y318" s="120"/>
      <c r="Z318" s="124"/>
      <c r="AA318" s="139"/>
    </row>
    <row r="319" spans="1:27" ht="15.75" thickBot="1" x14ac:dyDescent="0.3">
      <c r="A319" s="31">
        <v>225</v>
      </c>
      <c r="B319" s="193"/>
      <c r="C319" s="190"/>
      <c r="D319" s="107"/>
      <c r="E319" s="209"/>
      <c r="F319" s="92"/>
      <c r="G319" s="373"/>
      <c r="H319" s="374"/>
      <c r="I319" s="374"/>
      <c r="J319" s="108"/>
      <c r="K319" s="109"/>
      <c r="L319" s="120"/>
      <c r="M319" s="136"/>
      <c r="N319" s="124"/>
      <c r="O319" s="209"/>
      <c r="P319" s="379"/>
      <c r="Q319" s="380"/>
      <c r="R319" s="202"/>
      <c r="S319" s="113" t="s">
        <v>72</v>
      </c>
      <c r="T319" s="113" t="s">
        <v>134</v>
      </c>
      <c r="U319" s="132"/>
      <c r="V319" s="114" t="s">
        <v>74</v>
      </c>
      <c r="W319" s="127"/>
      <c r="X319" s="109"/>
      <c r="Y319" s="120"/>
      <c r="Z319" s="124"/>
      <c r="AA319" s="139"/>
    </row>
    <row r="320" spans="1:27" ht="15.75" thickBot="1" x14ac:dyDescent="0.3">
      <c r="A320" s="31">
        <v>226</v>
      </c>
      <c r="B320" s="193"/>
      <c r="C320" s="190"/>
      <c r="D320" s="107"/>
      <c r="E320" s="209"/>
      <c r="F320" s="92"/>
      <c r="G320" s="373"/>
      <c r="H320" s="374"/>
      <c r="I320" s="374"/>
      <c r="J320" s="108"/>
      <c r="K320" s="109"/>
      <c r="L320" s="120"/>
      <c r="M320" s="136"/>
      <c r="N320" s="124"/>
      <c r="O320" s="209"/>
      <c r="P320" s="379"/>
      <c r="Q320" s="380"/>
      <c r="R320" s="202"/>
      <c r="S320" s="113" t="s">
        <v>72</v>
      </c>
      <c r="T320" s="113" t="s">
        <v>134</v>
      </c>
      <c r="U320" s="132"/>
      <c r="V320" s="114" t="s">
        <v>74</v>
      </c>
      <c r="W320" s="127"/>
      <c r="X320" s="109"/>
      <c r="Y320" s="120"/>
      <c r="Z320" s="124"/>
      <c r="AA320" s="139"/>
    </row>
    <row r="321" spans="1:27" ht="15.75" thickBot="1" x14ac:dyDescent="0.3">
      <c r="A321" s="31">
        <v>227</v>
      </c>
      <c r="B321" s="193"/>
      <c r="C321" s="190"/>
      <c r="D321" s="107"/>
      <c r="E321" s="209"/>
      <c r="F321" s="92"/>
      <c r="G321" s="373"/>
      <c r="H321" s="374"/>
      <c r="I321" s="374"/>
      <c r="J321" s="108"/>
      <c r="K321" s="109"/>
      <c r="L321" s="120"/>
      <c r="M321" s="136"/>
      <c r="N321" s="124"/>
      <c r="O321" s="209"/>
      <c r="P321" s="379"/>
      <c r="Q321" s="380"/>
      <c r="R321" s="202"/>
      <c r="S321" s="113" t="s">
        <v>72</v>
      </c>
      <c r="T321" s="113" t="s">
        <v>134</v>
      </c>
      <c r="U321" s="132"/>
      <c r="V321" s="114" t="s">
        <v>74</v>
      </c>
      <c r="W321" s="127"/>
      <c r="X321" s="109"/>
      <c r="Y321" s="120"/>
      <c r="Z321" s="124"/>
      <c r="AA321" s="139"/>
    </row>
    <row r="322" spans="1:27" ht="15.75" thickBot="1" x14ac:dyDescent="0.3">
      <c r="A322" s="31">
        <v>228</v>
      </c>
      <c r="B322" s="193"/>
      <c r="C322" s="190"/>
      <c r="D322" s="107"/>
      <c r="E322" s="209"/>
      <c r="F322" s="92"/>
      <c r="G322" s="373"/>
      <c r="H322" s="374"/>
      <c r="I322" s="374"/>
      <c r="J322" s="108"/>
      <c r="K322" s="109"/>
      <c r="L322" s="120"/>
      <c r="M322" s="136"/>
      <c r="N322" s="124"/>
      <c r="O322" s="209"/>
      <c r="P322" s="379"/>
      <c r="Q322" s="380"/>
      <c r="R322" s="202"/>
      <c r="S322" s="113" t="s">
        <v>72</v>
      </c>
      <c r="T322" s="113" t="s">
        <v>134</v>
      </c>
      <c r="U322" s="132"/>
      <c r="V322" s="114" t="s">
        <v>74</v>
      </c>
      <c r="W322" s="127"/>
      <c r="X322" s="109"/>
      <c r="Y322" s="120"/>
      <c r="Z322" s="124"/>
      <c r="AA322" s="139"/>
    </row>
    <row r="323" spans="1:27" ht="15.75" thickBot="1" x14ac:dyDescent="0.3">
      <c r="A323" s="31">
        <v>229</v>
      </c>
      <c r="B323" s="193"/>
      <c r="C323" s="190"/>
      <c r="D323" s="107"/>
      <c r="E323" s="209"/>
      <c r="F323" s="92"/>
      <c r="G323" s="373"/>
      <c r="H323" s="374"/>
      <c r="I323" s="374"/>
      <c r="J323" s="108"/>
      <c r="K323" s="109"/>
      <c r="L323" s="120"/>
      <c r="M323" s="136"/>
      <c r="N323" s="124"/>
      <c r="O323" s="209"/>
      <c r="P323" s="379"/>
      <c r="Q323" s="380"/>
      <c r="R323" s="202"/>
      <c r="S323" s="113" t="s">
        <v>72</v>
      </c>
      <c r="T323" s="113" t="s">
        <v>134</v>
      </c>
      <c r="U323" s="132"/>
      <c r="V323" s="114" t="s">
        <v>74</v>
      </c>
      <c r="W323" s="127"/>
      <c r="X323" s="109"/>
      <c r="Y323" s="120"/>
      <c r="Z323" s="124"/>
      <c r="AA323" s="139"/>
    </row>
    <row r="324" spans="1:27" ht="15.75" thickBot="1" x14ac:dyDescent="0.3">
      <c r="A324" s="31">
        <v>230</v>
      </c>
      <c r="B324" s="193"/>
      <c r="C324" s="190"/>
      <c r="D324" s="107"/>
      <c r="E324" s="209"/>
      <c r="F324" s="92"/>
      <c r="G324" s="373"/>
      <c r="H324" s="374"/>
      <c r="I324" s="374"/>
      <c r="J324" s="108"/>
      <c r="K324" s="109"/>
      <c r="L324" s="120"/>
      <c r="M324" s="136"/>
      <c r="N324" s="124"/>
      <c r="O324" s="209"/>
      <c r="P324" s="379"/>
      <c r="Q324" s="380"/>
      <c r="R324" s="202"/>
      <c r="S324" s="113" t="s">
        <v>72</v>
      </c>
      <c r="T324" s="113" t="s">
        <v>134</v>
      </c>
      <c r="U324" s="132"/>
      <c r="V324" s="114" t="s">
        <v>74</v>
      </c>
      <c r="W324" s="127"/>
      <c r="X324" s="109"/>
      <c r="Y324" s="120"/>
      <c r="Z324" s="124"/>
      <c r="AA324" s="139"/>
    </row>
    <row r="325" spans="1:27" ht="15.75" thickBot="1" x14ac:dyDescent="0.3">
      <c r="A325" s="31">
        <v>231</v>
      </c>
      <c r="B325" s="193"/>
      <c r="C325" s="190"/>
      <c r="D325" s="107"/>
      <c r="E325" s="209"/>
      <c r="F325" s="92"/>
      <c r="G325" s="373"/>
      <c r="H325" s="374"/>
      <c r="I325" s="374"/>
      <c r="J325" s="108"/>
      <c r="K325" s="109"/>
      <c r="L325" s="120"/>
      <c r="M325" s="136"/>
      <c r="N325" s="124"/>
      <c r="O325" s="209"/>
      <c r="P325" s="379"/>
      <c r="Q325" s="380"/>
      <c r="R325" s="202"/>
      <c r="S325" s="113" t="s">
        <v>72</v>
      </c>
      <c r="T325" s="113" t="s">
        <v>134</v>
      </c>
      <c r="U325" s="132"/>
      <c r="V325" s="114" t="s">
        <v>74</v>
      </c>
      <c r="W325" s="127"/>
      <c r="X325" s="109"/>
      <c r="Y325" s="120"/>
      <c r="Z325" s="124"/>
      <c r="AA325" s="139"/>
    </row>
    <row r="326" spans="1:27" ht="15.75" thickBot="1" x14ac:dyDescent="0.3">
      <c r="A326" s="31">
        <v>232</v>
      </c>
      <c r="B326" s="193"/>
      <c r="C326" s="190"/>
      <c r="D326" s="107"/>
      <c r="E326" s="209"/>
      <c r="F326" s="92"/>
      <c r="G326" s="373"/>
      <c r="H326" s="374"/>
      <c r="I326" s="374"/>
      <c r="J326" s="108"/>
      <c r="K326" s="109"/>
      <c r="L326" s="120"/>
      <c r="M326" s="136"/>
      <c r="N326" s="124"/>
      <c r="O326" s="209"/>
      <c r="P326" s="379"/>
      <c r="Q326" s="380"/>
      <c r="R326" s="202"/>
      <c r="S326" s="113" t="s">
        <v>72</v>
      </c>
      <c r="T326" s="113" t="s">
        <v>134</v>
      </c>
      <c r="U326" s="132"/>
      <c r="V326" s="114" t="s">
        <v>74</v>
      </c>
      <c r="W326" s="127"/>
      <c r="X326" s="109"/>
      <c r="Y326" s="120"/>
      <c r="Z326" s="124"/>
      <c r="AA326" s="139"/>
    </row>
    <row r="327" spans="1:27" ht="15.75" thickBot="1" x14ac:dyDescent="0.3">
      <c r="A327" s="31">
        <v>233</v>
      </c>
      <c r="B327" s="193"/>
      <c r="C327" s="190"/>
      <c r="D327" s="107"/>
      <c r="E327" s="209"/>
      <c r="F327" s="92"/>
      <c r="G327" s="373"/>
      <c r="H327" s="374"/>
      <c r="I327" s="374"/>
      <c r="J327" s="108"/>
      <c r="K327" s="109"/>
      <c r="L327" s="120"/>
      <c r="M327" s="136"/>
      <c r="N327" s="124"/>
      <c r="O327" s="209"/>
      <c r="P327" s="379"/>
      <c r="Q327" s="380"/>
      <c r="R327" s="202"/>
      <c r="S327" s="113" t="s">
        <v>72</v>
      </c>
      <c r="T327" s="113" t="s">
        <v>134</v>
      </c>
      <c r="U327" s="132"/>
      <c r="V327" s="114" t="s">
        <v>74</v>
      </c>
      <c r="W327" s="127"/>
      <c r="X327" s="109"/>
      <c r="Y327" s="120"/>
      <c r="Z327" s="124"/>
      <c r="AA327" s="139"/>
    </row>
    <row r="328" spans="1:27" ht="15.75" thickBot="1" x14ac:dyDescent="0.3">
      <c r="A328" s="31">
        <v>234</v>
      </c>
      <c r="B328" s="193"/>
      <c r="C328" s="190"/>
      <c r="D328" s="107"/>
      <c r="E328" s="209"/>
      <c r="F328" s="92"/>
      <c r="G328" s="373"/>
      <c r="H328" s="374"/>
      <c r="I328" s="374"/>
      <c r="J328" s="108"/>
      <c r="K328" s="109"/>
      <c r="L328" s="120"/>
      <c r="M328" s="136"/>
      <c r="N328" s="124"/>
      <c r="O328" s="209"/>
      <c r="P328" s="379"/>
      <c r="Q328" s="380"/>
      <c r="R328" s="202"/>
      <c r="S328" s="113" t="s">
        <v>72</v>
      </c>
      <c r="T328" s="113" t="s">
        <v>134</v>
      </c>
      <c r="U328" s="132"/>
      <c r="V328" s="114" t="s">
        <v>74</v>
      </c>
      <c r="W328" s="127"/>
      <c r="X328" s="109"/>
      <c r="Y328" s="120"/>
      <c r="Z328" s="124"/>
      <c r="AA328" s="139"/>
    </row>
    <row r="329" spans="1:27" ht="15.75" thickBot="1" x14ac:dyDescent="0.3">
      <c r="A329" s="31">
        <v>235</v>
      </c>
      <c r="B329" s="193"/>
      <c r="C329" s="190"/>
      <c r="D329" s="107"/>
      <c r="E329" s="209"/>
      <c r="F329" s="92"/>
      <c r="G329" s="373"/>
      <c r="H329" s="374"/>
      <c r="I329" s="374"/>
      <c r="J329" s="108"/>
      <c r="K329" s="109"/>
      <c r="L329" s="120"/>
      <c r="M329" s="136"/>
      <c r="N329" s="124"/>
      <c r="O329" s="209"/>
      <c r="P329" s="379"/>
      <c r="Q329" s="380"/>
      <c r="R329" s="202"/>
      <c r="S329" s="113" t="s">
        <v>72</v>
      </c>
      <c r="T329" s="113" t="s">
        <v>134</v>
      </c>
      <c r="U329" s="132"/>
      <c r="V329" s="114" t="s">
        <v>74</v>
      </c>
      <c r="W329" s="127"/>
      <c r="X329" s="109"/>
      <c r="Y329" s="120"/>
      <c r="Z329" s="124"/>
      <c r="AA329" s="139"/>
    </row>
    <row r="330" spans="1:27" ht="15.75" thickBot="1" x14ac:dyDescent="0.3">
      <c r="A330" s="31">
        <v>236</v>
      </c>
      <c r="B330" s="193"/>
      <c r="C330" s="190"/>
      <c r="D330" s="107"/>
      <c r="E330" s="209"/>
      <c r="F330" s="92"/>
      <c r="G330" s="373"/>
      <c r="H330" s="374"/>
      <c r="I330" s="374"/>
      <c r="J330" s="108"/>
      <c r="K330" s="109"/>
      <c r="L330" s="120"/>
      <c r="M330" s="136"/>
      <c r="N330" s="124"/>
      <c r="O330" s="209"/>
      <c r="P330" s="379"/>
      <c r="Q330" s="380"/>
      <c r="R330" s="202"/>
      <c r="S330" s="113" t="s">
        <v>72</v>
      </c>
      <c r="T330" s="113" t="s">
        <v>134</v>
      </c>
      <c r="U330" s="132"/>
      <c r="V330" s="114" t="s">
        <v>74</v>
      </c>
      <c r="W330" s="127"/>
      <c r="X330" s="109"/>
      <c r="Y330" s="120"/>
      <c r="Z330" s="124"/>
      <c r="AA330" s="139"/>
    </row>
    <row r="331" spans="1:27" ht="15.75" thickBot="1" x14ac:dyDescent="0.3">
      <c r="A331" s="31">
        <v>237</v>
      </c>
      <c r="B331" s="193"/>
      <c r="C331" s="190"/>
      <c r="D331" s="107"/>
      <c r="E331" s="209"/>
      <c r="F331" s="92"/>
      <c r="G331" s="373"/>
      <c r="H331" s="374"/>
      <c r="I331" s="374"/>
      <c r="J331" s="108"/>
      <c r="K331" s="109"/>
      <c r="L331" s="120"/>
      <c r="M331" s="136"/>
      <c r="N331" s="124"/>
      <c r="O331" s="209"/>
      <c r="P331" s="379"/>
      <c r="Q331" s="380"/>
      <c r="R331" s="202"/>
      <c r="S331" s="113" t="s">
        <v>72</v>
      </c>
      <c r="T331" s="113" t="s">
        <v>134</v>
      </c>
      <c r="U331" s="132"/>
      <c r="V331" s="114" t="s">
        <v>74</v>
      </c>
      <c r="W331" s="127"/>
      <c r="X331" s="109"/>
      <c r="Y331" s="120"/>
      <c r="Z331" s="124"/>
      <c r="AA331" s="139"/>
    </row>
    <row r="332" spans="1:27" ht="15.75" thickBot="1" x14ac:dyDescent="0.3">
      <c r="A332" s="31">
        <v>238</v>
      </c>
      <c r="B332" s="193"/>
      <c r="C332" s="190"/>
      <c r="D332" s="107"/>
      <c r="E332" s="209"/>
      <c r="F332" s="92"/>
      <c r="G332" s="373"/>
      <c r="H332" s="374"/>
      <c r="I332" s="374"/>
      <c r="J332" s="108"/>
      <c r="K332" s="109"/>
      <c r="L332" s="120"/>
      <c r="M332" s="136"/>
      <c r="N332" s="124"/>
      <c r="O332" s="209"/>
      <c r="P332" s="379"/>
      <c r="Q332" s="380"/>
      <c r="R332" s="202"/>
      <c r="S332" s="113" t="s">
        <v>72</v>
      </c>
      <c r="T332" s="113" t="s">
        <v>134</v>
      </c>
      <c r="U332" s="132"/>
      <c r="V332" s="114" t="s">
        <v>74</v>
      </c>
      <c r="W332" s="127"/>
      <c r="X332" s="109"/>
      <c r="Y332" s="120"/>
      <c r="Z332" s="124"/>
      <c r="AA332" s="139"/>
    </row>
    <row r="333" spans="1:27" ht="15.75" thickBot="1" x14ac:dyDescent="0.3">
      <c r="A333" s="31">
        <v>239</v>
      </c>
      <c r="B333" s="193"/>
      <c r="C333" s="190"/>
      <c r="D333" s="107"/>
      <c r="E333" s="209"/>
      <c r="F333" s="92"/>
      <c r="G333" s="373"/>
      <c r="H333" s="374"/>
      <c r="I333" s="374"/>
      <c r="J333" s="108"/>
      <c r="K333" s="109"/>
      <c r="L333" s="120"/>
      <c r="M333" s="136"/>
      <c r="N333" s="124"/>
      <c r="O333" s="209"/>
      <c r="P333" s="379"/>
      <c r="Q333" s="380"/>
      <c r="R333" s="202"/>
      <c r="S333" s="113" t="s">
        <v>72</v>
      </c>
      <c r="T333" s="113" t="s">
        <v>134</v>
      </c>
      <c r="U333" s="132"/>
      <c r="V333" s="114" t="s">
        <v>74</v>
      </c>
      <c r="W333" s="127"/>
      <c r="X333" s="109"/>
      <c r="Y333" s="120"/>
      <c r="Z333" s="124"/>
      <c r="AA333" s="139"/>
    </row>
    <row r="334" spans="1:27" ht="15.75" thickBot="1" x14ac:dyDescent="0.3">
      <c r="A334" s="31">
        <v>240</v>
      </c>
      <c r="B334" s="193"/>
      <c r="C334" s="190"/>
      <c r="D334" s="107"/>
      <c r="E334" s="209"/>
      <c r="F334" s="92"/>
      <c r="G334" s="373"/>
      <c r="H334" s="374"/>
      <c r="I334" s="374"/>
      <c r="J334" s="108"/>
      <c r="K334" s="109"/>
      <c r="L334" s="120"/>
      <c r="M334" s="136"/>
      <c r="N334" s="124"/>
      <c r="O334" s="209"/>
      <c r="P334" s="379"/>
      <c r="Q334" s="380"/>
      <c r="R334" s="202"/>
      <c r="S334" s="113" t="s">
        <v>72</v>
      </c>
      <c r="T334" s="113" t="s">
        <v>134</v>
      </c>
      <c r="U334" s="132"/>
      <c r="V334" s="114" t="s">
        <v>74</v>
      </c>
      <c r="W334" s="127"/>
      <c r="X334" s="109"/>
      <c r="Y334" s="120"/>
      <c r="Z334" s="124"/>
      <c r="AA334" s="139"/>
    </row>
    <row r="335" spans="1:27" ht="15.75" thickBot="1" x14ac:dyDescent="0.3">
      <c r="A335" s="31">
        <v>241</v>
      </c>
      <c r="B335" s="193"/>
      <c r="C335" s="190"/>
      <c r="D335" s="107"/>
      <c r="E335" s="209"/>
      <c r="F335" s="92"/>
      <c r="G335" s="373"/>
      <c r="H335" s="374"/>
      <c r="I335" s="374"/>
      <c r="J335" s="108"/>
      <c r="K335" s="109"/>
      <c r="L335" s="120"/>
      <c r="M335" s="136"/>
      <c r="N335" s="124"/>
      <c r="O335" s="209"/>
      <c r="P335" s="379"/>
      <c r="Q335" s="380"/>
      <c r="R335" s="202"/>
      <c r="S335" s="113" t="s">
        <v>72</v>
      </c>
      <c r="T335" s="113" t="s">
        <v>134</v>
      </c>
      <c r="U335" s="132"/>
      <c r="V335" s="114" t="s">
        <v>74</v>
      </c>
      <c r="W335" s="127"/>
      <c r="X335" s="109"/>
      <c r="Y335" s="120"/>
      <c r="Z335" s="124"/>
      <c r="AA335" s="139"/>
    </row>
    <row r="336" spans="1:27" ht="15.75" thickBot="1" x14ac:dyDescent="0.3">
      <c r="A336" s="31">
        <v>242</v>
      </c>
      <c r="B336" s="193"/>
      <c r="C336" s="190"/>
      <c r="D336" s="107"/>
      <c r="E336" s="209"/>
      <c r="F336" s="92"/>
      <c r="G336" s="373"/>
      <c r="H336" s="374"/>
      <c r="I336" s="374"/>
      <c r="J336" s="108"/>
      <c r="K336" s="109"/>
      <c r="L336" s="120"/>
      <c r="M336" s="136"/>
      <c r="N336" s="124"/>
      <c r="O336" s="209"/>
      <c r="P336" s="379"/>
      <c r="Q336" s="380"/>
      <c r="R336" s="202"/>
      <c r="S336" s="113" t="s">
        <v>72</v>
      </c>
      <c r="T336" s="113" t="s">
        <v>134</v>
      </c>
      <c r="U336" s="132"/>
      <c r="V336" s="114" t="s">
        <v>74</v>
      </c>
      <c r="W336" s="127"/>
      <c r="X336" s="109"/>
      <c r="Y336" s="120"/>
      <c r="Z336" s="124"/>
      <c r="AA336" s="139"/>
    </row>
    <row r="337" spans="1:27" ht="15.75" thickBot="1" x14ac:dyDescent="0.3">
      <c r="A337" s="31">
        <v>243</v>
      </c>
      <c r="B337" s="193"/>
      <c r="C337" s="190"/>
      <c r="D337" s="107"/>
      <c r="E337" s="209"/>
      <c r="F337" s="92"/>
      <c r="G337" s="373"/>
      <c r="H337" s="374"/>
      <c r="I337" s="374"/>
      <c r="J337" s="108"/>
      <c r="K337" s="109"/>
      <c r="L337" s="120"/>
      <c r="M337" s="136"/>
      <c r="N337" s="124"/>
      <c r="O337" s="209"/>
      <c r="P337" s="379"/>
      <c r="Q337" s="380"/>
      <c r="R337" s="202"/>
      <c r="S337" s="113" t="s">
        <v>72</v>
      </c>
      <c r="T337" s="113" t="s">
        <v>134</v>
      </c>
      <c r="U337" s="132"/>
      <c r="V337" s="114" t="s">
        <v>74</v>
      </c>
      <c r="W337" s="127"/>
      <c r="X337" s="109"/>
      <c r="Y337" s="120"/>
      <c r="Z337" s="124"/>
      <c r="AA337" s="139"/>
    </row>
    <row r="338" spans="1:27" ht="15.75" thickBot="1" x14ac:dyDescent="0.3">
      <c r="A338" s="31">
        <v>244</v>
      </c>
      <c r="B338" s="193"/>
      <c r="C338" s="190"/>
      <c r="D338" s="107"/>
      <c r="E338" s="209"/>
      <c r="F338" s="92"/>
      <c r="G338" s="373"/>
      <c r="H338" s="374"/>
      <c r="I338" s="374"/>
      <c r="J338" s="108"/>
      <c r="K338" s="109"/>
      <c r="L338" s="120"/>
      <c r="M338" s="136"/>
      <c r="N338" s="124"/>
      <c r="O338" s="209"/>
      <c r="P338" s="379"/>
      <c r="Q338" s="380"/>
      <c r="R338" s="202"/>
      <c r="S338" s="113" t="s">
        <v>72</v>
      </c>
      <c r="T338" s="113" t="s">
        <v>134</v>
      </c>
      <c r="U338" s="132"/>
      <c r="V338" s="114" t="s">
        <v>74</v>
      </c>
      <c r="W338" s="127"/>
      <c r="X338" s="109"/>
      <c r="Y338" s="120"/>
      <c r="Z338" s="124"/>
      <c r="AA338" s="139"/>
    </row>
    <row r="339" spans="1:27" ht="15.75" thickBot="1" x14ac:dyDescent="0.3">
      <c r="A339" s="31">
        <v>245</v>
      </c>
      <c r="B339" s="193"/>
      <c r="C339" s="190"/>
      <c r="D339" s="107"/>
      <c r="E339" s="209"/>
      <c r="F339" s="92"/>
      <c r="G339" s="373"/>
      <c r="H339" s="374"/>
      <c r="I339" s="374"/>
      <c r="J339" s="108"/>
      <c r="K339" s="109"/>
      <c r="L339" s="120"/>
      <c r="M339" s="136"/>
      <c r="N339" s="124"/>
      <c r="O339" s="209"/>
      <c r="P339" s="379"/>
      <c r="Q339" s="380"/>
      <c r="R339" s="202"/>
      <c r="S339" s="113" t="s">
        <v>72</v>
      </c>
      <c r="T339" s="113" t="s">
        <v>134</v>
      </c>
      <c r="U339" s="132"/>
      <c r="V339" s="114" t="s">
        <v>74</v>
      </c>
      <c r="W339" s="127"/>
      <c r="X339" s="109"/>
      <c r="Y339" s="120"/>
      <c r="Z339" s="124"/>
      <c r="AA339" s="139"/>
    </row>
    <row r="340" spans="1:27" ht="15.75" thickBot="1" x14ac:dyDescent="0.3">
      <c r="A340" s="31">
        <v>246</v>
      </c>
      <c r="B340" s="193"/>
      <c r="C340" s="190"/>
      <c r="D340" s="107"/>
      <c r="E340" s="209"/>
      <c r="F340" s="92"/>
      <c r="G340" s="373"/>
      <c r="H340" s="374"/>
      <c r="I340" s="374"/>
      <c r="J340" s="108"/>
      <c r="K340" s="109"/>
      <c r="L340" s="120"/>
      <c r="M340" s="136"/>
      <c r="N340" s="124"/>
      <c r="O340" s="209"/>
      <c r="P340" s="379"/>
      <c r="Q340" s="380"/>
      <c r="R340" s="202"/>
      <c r="S340" s="113" t="s">
        <v>72</v>
      </c>
      <c r="T340" s="113" t="s">
        <v>134</v>
      </c>
      <c r="U340" s="132"/>
      <c r="V340" s="114" t="s">
        <v>74</v>
      </c>
      <c r="W340" s="127"/>
      <c r="X340" s="109"/>
      <c r="Y340" s="120"/>
      <c r="Z340" s="124"/>
      <c r="AA340" s="139"/>
    </row>
    <row r="341" spans="1:27" ht="15.75" thickBot="1" x14ac:dyDescent="0.3">
      <c r="A341" s="31">
        <v>247</v>
      </c>
      <c r="B341" s="193"/>
      <c r="C341" s="190"/>
      <c r="D341" s="107"/>
      <c r="E341" s="209"/>
      <c r="F341" s="92"/>
      <c r="G341" s="373"/>
      <c r="H341" s="374"/>
      <c r="I341" s="374"/>
      <c r="J341" s="108"/>
      <c r="K341" s="109"/>
      <c r="L341" s="120"/>
      <c r="M341" s="136"/>
      <c r="N341" s="124"/>
      <c r="O341" s="209"/>
      <c r="P341" s="379"/>
      <c r="Q341" s="380"/>
      <c r="R341" s="202"/>
      <c r="S341" s="113" t="s">
        <v>72</v>
      </c>
      <c r="T341" s="113" t="s">
        <v>134</v>
      </c>
      <c r="U341" s="132"/>
      <c r="V341" s="114" t="s">
        <v>74</v>
      </c>
      <c r="W341" s="127"/>
      <c r="X341" s="109"/>
      <c r="Y341" s="120"/>
      <c r="Z341" s="124"/>
      <c r="AA341" s="139"/>
    </row>
    <row r="342" spans="1:27" ht="15.75" thickBot="1" x14ac:dyDescent="0.3">
      <c r="A342" s="31">
        <v>248</v>
      </c>
      <c r="B342" s="193"/>
      <c r="C342" s="190"/>
      <c r="D342" s="107"/>
      <c r="E342" s="209"/>
      <c r="F342" s="92"/>
      <c r="G342" s="373"/>
      <c r="H342" s="374"/>
      <c r="I342" s="374"/>
      <c r="J342" s="108"/>
      <c r="K342" s="109"/>
      <c r="L342" s="120"/>
      <c r="M342" s="136"/>
      <c r="N342" s="124"/>
      <c r="O342" s="209"/>
      <c r="P342" s="379"/>
      <c r="Q342" s="380"/>
      <c r="R342" s="202"/>
      <c r="S342" s="113" t="s">
        <v>72</v>
      </c>
      <c r="T342" s="113" t="s">
        <v>134</v>
      </c>
      <c r="U342" s="132"/>
      <c r="V342" s="114" t="s">
        <v>74</v>
      </c>
      <c r="W342" s="127"/>
      <c r="X342" s="109"/>
      <c r="Y342" s="120"/>
      <c r="Z342" s="124"/>
      <c r="AA342" s="139"/>
    </row>
    <row r="343" spans="1:27" ht="15.75" thickBot="1" x14ac:dyDescent="0.3">
      <c r="A343" s="31">
        <v>249</v>
      </c>
      <c r="B343" s="193"/>
      <c r="C343" s="190"/>
      <c r="D343" s="107"/>
      <c r="E343" s="209"/>
      <c r="F343" s="92"/>
      <c r="G343" s="373"/>
      <c r="H343" s="374"/>
      <c r="I343" s="374"/>
      <c r="J343" s="108"/>
      <c r="K343" s="109"/>
      <c r="L343" s="120"/>
      <c r="M343" s="136"/>
      <c r="N343" s="124"/>
      <c r="O343" s="209"/>
      <c r="P343" s="379"/>
      <c r="Q343" s="380"/>
      <c r="R343" s="202"/>
      <c r="S343" s="113" t="s">
        <v>72</v>
      </c>
      <c r="T343" s="113" t="s">
        <v>134</v>
      </c>
      <c r="U343" s="132"/>
      <c r="V343" s="114" t="s">
        <v>74</v>
      </c>
      <c r="W343" s="127"/>
      <c r="X343" s="109"/>
      <c r="Y343" s="120"/>
      <c r="Z343" s="124"/>
      <c r="AA343" s="139"/>
    </row>
    <row r="344" spans="1:27" ht="15.75" thickBot="1" x14ac:dyDescent="0.3">
      <c r="A344" s="31">
        <v>250</v>
      </c>
      <c r="B344" s="193"/>
      <c r="C344" s="190"/>
      <c r="D344" s="107"/>
      <c r="E344" s="209"/>
      <c r="F344" s="92"/>
      <c r="G344" s="373"/>
      <c r="H344" s="374"/>
      <c r="I344" s="374"/>
      <c r="J344" s="108"/>
      <c r="K344" s="109"/>
      <c r="L344" s="120"/>
      <c r="M344" s="136"/>
      <c r="N344" s="124"/>
      <c r="O344" s="209"/>
      <c r="P344" s="379"/>
      <c r="Q344" s="380"/>
      <c r="R344" s="202"/>
      <c r="S344" s="113" t="s">
        <v>72</v>
      </c>
      <c r="T344" s="113" t="s">
        <v>134</v>
      </c>
      <c r="U344" s="132"/>
      <c r="V344" s="114" t="s">
        <v>74</v>
      </c>
      <c r="W344" s="127"/>
      <c r="X344" s="109"/>
      <c r="Y344" s="120"/>
      <c r="Z344" s="124"/>
      <c r="AA344" s="139"/>
    </row>
    <row r="345" spans="1:27" ht="15.75" thickBot="1" x14ac:dyDescent="0.3">
      <c r="A345" s="31">
        <v>251</v>
      </c>
      <c r="B345" s="193"/>
      <c r="C345" s="190"/>
      <c r="D345" s="107"/>
      <c r="E345" s="209"/>
      <c r="F345" s="92"/>
      <c r="G345" s="373"/>
      <c r="H345" s="374"/>
      <c r="I345" s="374"/>
      <c r="J345" s="108"/>
      <c r="K345" s="109"/>
      <c r="L345" s="120"/>
      <c r="M345" s="136"/>
      <c r="N345" s="124"/>
      <c r="O345" s="209"/>
      <c r="P345" s="379"/>
      <c r="Q345" s="380"/>
      <c r="R345" s="202"/>
      <c r="S345" s="113" t="s">
        <v>72</v>
      </c>
      <c r="T345" s="113" t="s">
        <v>134</v>
      </c>
      <c r="U345" s="132"/>
      <c r="V345" s="114" t="s">
        <v>74</v>
      </c>
      <c r="W345" s="127"/>
      <c r="X345" s="109"/>
      <c r="Y345" s="120"/>
      <c r="Z345" s="124"/>
      <c r="AA345" s="139"/>
    </row>
    <row r="346" spans="1:27" ht="15.75" thickBot="1" x14ac:dyDescent="0.3">
      <c r="A346" s="31">
        <v>252</v>
      </c>
      <c r="B346" s="193"/>
      <c r="C346" s="190"/>
      <c r="D346" s="107"/>
      <c r="E346" s="209"/>
      <c r="F346" s="92"/>
      <c r="G346" s="373"/>
      <c r="H346" s="374"/>
      <c r="I346" s="374"/>
      <c r="J346" s="108"/>
      <c r="K346" s="109"/>
      <c r="L346" s="120"/>
      <c r="M346" s="136"/>
      <c r="N346" s="124"/>
      <c r="O346" s="209"/>
      <c r="P346" s="379"/>
      <c r="Q346" s="380"/>
      <c r="R346" s="202"/>
      <c r="S346" s="113" t="s">
        <v>72</v>
      </c>
      <c r="T346" s="113" t="s">
        <v>134</v>
      </c>
      <c r="U346" s="132"/>
      <c r="V346" s="114" t="s">
        <v>74</v>
      </c>
      <c r="W346" s="127"/>
      <c r="X346" s="109"/>
      <c r="Y346" s="120"/>
      <c r="Z346" s="124"/>
      <c r="AA346" s="139"/>
    </row>
    <row r="347" spans="1:27" ht="15.75" thickBot="1" x14ac:dyDescent="0.3">
      <c r="A347" s="31">
        <v>253</v>
      </c>
      <c r="B347" s="193"/>
      <c r="C347" s="190"/>
      <c r="D347" s="107"/>
      <c r="E347" s="209"/>
      <c r="F347" s="92"/>
      <c r="G347" s="373"/>
      <c r="H347" s="374"/>
      <c r="I347" s="374"/>
      <c r="J347" s="108"/>
      <c r="K347" s="109"/>
      <c r="L347" s="120"/>
      <c r="M347" s="136"/>
      <c r="N347" s="124"/>
      <c r="O347" s="209"/>
      <c r="P347" s="379"/>
      <c r="Q347" s="380"/>
      <c r="R347" s="202"/>
      <c r="S347" s="113" t="s">
        <v>72</v>
      </c>
      <c r="T347" s="113" t="s">
        <v>134</v>
      </c>
      <c r="U347" s="132"/>
      <c r="V347" s="114" t="s">
        <v>74</v>
      </c>
      <c r="W347" s="127"/>
      <c r="X347" s="109"/>
      <c r="Y347" s="120"/>
      <c r="Z347" s="124"/>
      <c r="AA347" s="139"/>
    </row>
    <row r="348" spans="1:27" ht="15.75" thickBot="1" x14ac:dyDescent="0.3">
      <c r="A348" s="31">
        <v>254</v>
      </c>
      <c r="B348" s="193"/>
      <c r="C348" s="190"/>
      <c r="D348" s="107"/>
      <c r="E348" s="209"/>
      <c r="F348" s="92"/>
      <c r="G348" s="373"/>
      <c r="H348" s="374"/>
      <c r="I348" s="374"/>
      <c r="J348" s="108"/>
      <c r="K348" s="109"/>
      <c r="L348" s="120"/>
      <c r="M348" s="136"/>
      <c r="N348" s="124"/>
      <c r="O348" s="209"/>
      <c r="P348" s="379"/>
      <c r="Q348" s="380"/>
      <c r="R348" s="202"/>
      <c r="S348" s="113" t="s">
        <v>72</v>
      </c>
      <c r="T348" s="113" t="s">
        <v>134</v>
      </c>
      <c r="U348" s="132"/>
      <c r="V348" s="114" t="s">
        <v>74</v>
      </c>
      <c r="W348" s="127"/>
      <c r="X348" s="109"/>
      <c r="Y348" s="120"/>
      <c r="Z348" s="124"/>
      <c r="AA348" s="139"/>
    </row>
    <row r="349" spans="1:27" ht="15.75" thickBot="1" x14ac:dyDescent="0.3">
      <c r="A349" s="31">
        <v>255</v>
      </c>
      <c r="B349" s="193"/>
      <c r="C349" s="190"/>
      <c r="D349" s="107"/>
      <c r="E349" s="209"/>
      <c r="F349" s="92"/>
      <c r="G349" s="373"/>
      <c r="H349" s="374"/>
      <c r="I349" s="374"/>
      <c r="J349" s="108"/>
      <c r="K349" s="109"/>
      <c r="L349" s="120"/>
      <c r="M349" s="136"/>
      <c r="N349" s="124"/>
      <c r="O349" s="209"/>
      <c r="P349" s="379"/>
      <c r="Q349" s="380"/>
      <c r="R349" s="202"/>
      <c r="S349" s="113" t="s">
        <v>72</v>
      </c>
      <c r="T349" s="113" t="s">
        <v>134</v>
      </c>
      <c r="U349" s="132"/>
      <c r="V349" s="114" t="s">
        <v>74</v>
      </c>
      <c r="W349" s="127"/>
      <c r="X349" s="109"/>
      <c r="Y349" s="120"/>
      <c r="Z349" s="124"/>
      <c r="AA349" s="139"/>
    </row>
    <row r="350" spans="1:27" ht="15.75" thickBot="1" x14ac:dyDescent="0.3">
      <c r="A350" s="31">
        <v>256</v>
      </c>
      <c r="B350" s="193"/>
      <c r="C350" s="190"/>
      <c r="D350" s="107"/>
      <c r="E350" s="209"/>
      <c r="F350" s="92"/>
      <c r="G350" s="373"/>
      <c r="H350" s="374"/>
      <c r="I350" s="374"/>
      <c r="J350" s="108"/>
      <c r="K350" s="109"/>
      <c r="L350" s="120"/>
      <c r="M350" s="136"/>
      <c r="N350" s="124"/>
      <c r="O350" s="209"/>
      <c r="P350" s="379"/>
      <c r="Q350" s="380"/>
      <c r="R350" s="202"/>
      <c r="S350" s="113" t="s">
        <v>72</v>
      </c>
      <c r="T350" s="113" t="s">
        <v>134</v>
      </c>
      <c r="U350" s="132"/>
      <c r="V350" s="114" t="s">
        <v>74</v>
      </c>
      <c r="W350" s="127"/>
      <c r="X350" s="109"/>
      <c r="Y350" s="120"/>
      <c r="Z350" s="124"/>
      <c r="AA350" s="139"/>
    </row>
    <row r="351" spans="1:27" ht="15.75" thickBot="1" x14ac:dyDescent="0.3">
      <c r="A351" s="31">
        <v>257</v>
      </c>
      <c r="B351" s="193"/>
      <c r="C351" s="190"/>
      <c r="D351" s="107"/>
      <c r="E351" s="209"/>
      <c r="F351" s="92"/>
      <c r="G351" s="373"/>
      <c r="H351" s="374"/>
      <c r="I351" s="374"/>
      <c r="J351" s="108"/>
      <c r="K351" s="109"/>
      <c r="L351" s="120"/>
      <c r="M351" s="136"/>
      <c r="N351" s="124"/>
      <c r="O351" s="209"/>
      <c r="P351" s="379"/>
      <c r="Q351" s="380"/>
      <c r="R351" s="202"/>
      <c r="S351" s="113" t="s">
        <v>72</v>
      </c>
      <c r="T351" s="113" t="s">
        <v>134</v>
      </c>
      <c r="U351" s="132"/>
      <c r="V351" s="114" t="s">
        <v>74</v>
      </c>
      <c r="W351" s="127"/>
      <c r="X351" s="109"/>
      <c r="Y351" s="120"/>
      <c r="Z351" s="124"/>
      <c r="AA351" s="139"/>
    </row>
    <row r="352" spans="1:27" ht="15.75" thickBot="1" x14ac:dyDescent="0.3">
      <c r="A352" s="31">
        <v>258</v>
      </c>
      <c r="B352" s="193"/>
      <c r="C352" s="190"/>
      <c r="D352" s="107"/>
      <c r="E352" s="209"/>
      <c r="F352" s="92"/>
      <c r="G352" s="373"/>
      <c r="H352" s="374"/>
      <c r="I352" s="374"/>
      <c r="J352" s="108"/>
      <c r="K352" s="109"/>
      <c r="L352" s="120"/>
      <c r="M352" s="136"/>
      <c r="N352" s="124"/>
      <c r="O352" s="209"/>
      <c r="P352" s="379"/>
      <c r="Q352" s="380"/>
      <c r="R352" s="202"/>
      <c r="S352" s="113" t="s">
        <v>72</v>
      </c>
      <c r="T352" s="113" t="s">
        <v>134</v>
      </c>
      <c r="U352" s="132"/>
      <c r="V352" s="114" t="s">
        <v>74</v>
      </c>
      <c r="W352" s="127"/>
      <c r="X352" s="109"/>
      <c r="Y352" s="120"/>
      <c r="Z352" s="124"/>
      <c r="AA352" s="139"/>
    </row>
    <row r="353" spans="1:27" ht="15.75" thickBot="1" x14ac:dyDescent="0.3">
      <c r="A353" s="31">
        <v>259</v>
      </c>
      <c r="B353" s="193"/>
      <c r="C353" s="190"/>
      <c r="D353" s="107"/>
      <c r="E353" s="209"/>
      <c r="F353" s="92"/>
      <c r="G353" s="373"/>
      <c r="H353" s="374"/>
      <c r="I353" s="374"/>
      <c r="J353" s="108"/>
      <c r="K353" s="109"/>
      <c r="L353" s="120"/>
      <c r="M353" s="136"/>
      <c r="N353" s="124"/>
      <c r="O353" s="209"/>
      <c r="P353" s="379"/>
      <c r="Q353" s="380"/>
      <c r="R353" s="202"/>
      <c r="S353" s="113" t="s">
        <v>72</v>
      </c>
      <c r="T353" s="113" t="s">
        <v>134</v>
      </c>
      <c r="U353" s="132"/>
      <c r="V353" s="114" t="s">
        <v>74</v>
      </c>
      <c r="W353" s="127"/>
      <c r="X353" s="109"/>
      <c r="Y353" s="120"/>
      <c r="Z353" s="124"/>
      <c r="AA353" s="139"/>
    </row>
    <row r="354" spans="1:27" ht="15.75" thickBot="1" x14ac:dyDescent="0.3">
      <c r="A354" s="31">
        <v>260</v>
      </c>
      <c r="B354" s="193"/>
      <c r="C354" s="190"/>
      <c r="D354" s="107"/>
      <c r="E354" s="209"/>
      <c r="F354" s="92"/>
      <c r="G354" s="373"/>
      <c r="H354" s="374"/>
      <c r="I354" s="374"/>
      <c r="J354" s="108"/>
      <c r="K354" s="109"/>
      <c r="L354" s="120"/>
      <c r="M354" s="136"/>
      <c r="N354" s="124"/>
      <c r="O354" s="209"/>
      <c r="P354" s="379"/>
      <c r="Q354" s="380"/>
      <c r="R354" s="202"/>
      <c r="S354" s="113" t="s">
        <v>72</v>
      </c>
      <c r="T354" s="113" t="s">
        <v>134</v>
      </c>
      <c r="U354" s="132"/>
      <c r="V354" s="114" t="s">
        <v>74</v>
      </c>
      <c r="W354" s="127"/>
      <c r="X354" s="109"/>
      <c r="Y354" s="120"/>
      <c r="Z354" s="124"/>
      <c r="AA354" s="139"/>
    </row>
    <row r="355" spans="1:27" ht="15.75" thickBot="1" x14ac:dyDescent="0.3">
      <c r="A355" s="31">
        <v>261</v>
      </c>
      <c r="B355" s="193"/>
      <c r="C355" s="190"/>
      <c r="D355" s="107"/>
      <c r="E355" s="209"/>
      <c r="F355" s="92"/>
      <c r="G355" s="373"/>
      <c r="H355" s="374"/>
      <c r="I355" s="374"/>
      <c r="J355" s="108"/>
      <c r="K355" s="109"/>
      <c r="L355" s="120"/>
      <c r="M355" s="136"/>
      <c r="N355" s="124"/>
      <c r="O355" s="209"/>
      <c r="P355" s="379"/>
      <c r="Q355" s="380"/>
      <c r="R355" s="202"/>
      <c r="S355" s="113" t="s">
        <v>72</v>
      </c>
      <c r="T355" s="113" t="s">
        <v>134</v>
      </c>
      <c r="U355" s="132"/>
      <c r="V355" s="114" t="s">
        <v>74</v>
      </c>
      <c r="W355" s="127"/>
      <c r="X355" s="109"/>
      <c r="Y355" s="120"/>
      <c r="Z355" s="124"/>
      <c r="AA355" s="139"/>
    </row>
    <row r="356" spans="1:27" ht="15.75" thickBot="1" x14ac:dyDescent="0.3">
      <c r="A356" s="31">
        <v>262</v>
      </c>
      <c r="B356" s="193"/>
      <c r="C356" s="190"/>
      <c r="D356" s="107"/>
      <c r="E356" s="209"/>
      <c r="F356" s="92"/>
      <c r="G356" s="373"/>
      <c r="H356" s="374"/>
      <c r="I356" s="374"/>
      <c r="J356" s="108"/>
      <c r="K356" s="109"/>
      <c r="L356" s="120"/>
      <c r="M356" s="136"/>
      <c r="N356" s="124"/>
      <c r="O356" s="209"/>
      <c r="P356" s="379"/>
      <c r="Q356" s="380"/>
      <c r="R356" s="202"/>
      <c r="S356" s="113" t="s">
        <v>72</v>
      </c>
      <c r="T356" s="113" t="s">
        <v>134</v>
      </c>
      <c r="U356" s="132"/>
      <c r="V356" s="114" t="s">
        <v>74</v>
      </c>
      <c r="W356" s="127"/>
      <c r="X356" s="109"/>
      <c r="Y356" s="120"/>
      <c r="Z356" s="124"/>
      <c r="AA356" s="139"/>
    </row>
    <row r="357" spans="1:27" ht="15.75" thickBot="1" x14ac:dyDescent="0.3">
      <c r="A357" s="31">
        <v>263</v>
      </c>
      <c r="B357" s="193"/>
      <c r="C357" s="190"/>
      <c r="D357" s="107"/>
      <c r="E357" s="209"/>
      <c r="F357" s="92"/>
      <c r="G357" s="373"/>
      <c r="H357" s="374"/>
      <c r="I357" s="374"/>
      <c r="J357" s="108"/>
      <c r="K357" s="109"/>
      <c r="L357" s="120"/>
      <c r="M357" s="136"/>
      <c r="N357" s="124"/>
      <c r="O357" s="209"/>
      <c r="P357" s="379"/>
      <c r="Q357" s="380"/>
      <c r="R357" s="202"/>
      <c r="S357" s="113" t="s">
        <v>72</v>
      </c>
      <c r="T357" s="113" t="s">
        <v>134</v>
      </c>
      <c r="U357" s="132"/>
      <c r="V357" s="114" t="s">
        <v>74</v>
      </c>
      <c r="W357" s="127"/>
      <c r="X357" s="109"/>
      <c r="Y357" s="120"/>
      <c r="Z357" s="124"/>
      <c r="AA357" s="139"/>
    </row>
    <row r="358" spans="1:27" ht="15.75" thickBot="1" x14ac:dyDescent="0.3">
      <c r="A358" s="31">
        <v>264</v>
      </c>
      <c r="B358" s="193"/>
      <c r="C358" s="190"/>
      <c r="D358" s="107"/>
      <c r="E358" s="209"/>
      <c r="F358" s="92"/>
      <c r="G358" s="373"/>
      <c r="H358" s="374"/>
      <c r="I358" s="374"/>
      <c r="J358" s="108"/>
      <c r="K358" s="109"/>
      <c r="L358" s="120"/>
      <c r="M358" s="136"/>
      <c r="N358" s="124"/>
      <c r="O358" s="209"/>
      <c r="P358" s="379"/>
      <c r="Q358" s="380"/>
      <c r="R358" s="202"/>
      <c r="S358" s="113" t="s">
        <v>72</v>
      </c>
      <c r="T358" s="113" t="s">
        <v>134</v>
      </c>
      <c r="U358" s="132"/>
      <c r="V358" s="114" t="s">
        <v>74</v>
      </c>
      <c r="W358" s="127"/>
      <c r="X358" s="109"/>
      <c r="Y358" s="120"/>
      <c r="Z358" s="124"/>
      <c r="AA358" s="139"/>
    </row>
    <row r="359" spans="1:27" ht="15.75" thickBot="1" x14ac:dyDescent="0.3">
      <c r="A359" s="31">
        <v>265</v>
      </c>
      <c r="B359" s="193"/>
      <c r="C359" s="190"/>
      <c r="D359" s="107"/>
      <c r="E359" s="209"/>
      <c r="F359" s="92"/>
      <c r="G359" s="373"/>
      <c r="H359" s="374"/>
      <c r="I359" s="374"/>
      <c r="J359" s="108"/>
      <c r="K359" s="109"/>
      <c r="L359" s="120"/>
      <c r="M359" s="136"/>
      <c r="N359" s="124"/>
      <c r="O359" s="209"/>
      <c r="P359" s="379"/>
      <c r="Q359" s="380"/>
      <c r="R359" s="202"/>
      <c r="S359" s="113" t="s">
        <v>72</v>
      </c>
      <c r="T359" s="113" t="s">
        <v>134</v>
      </c>
      <c r="U359" s="132"/>
      <c r="V359" s="114" t="s">
        <v>74</v>
      </c>
      <c r="W359" s="127"/>
      <c r="X359" s="109"/>
      <c r="Y359" s="120"/>
      <c r="Z359" s="124"/>
      <c r="AA359" s="139"/>
    </row>
    <row r="360" spans="1:27" ht="15.75" thickBot="1" x14ac:dyDescent="0.3">
      <c r="A360" s="31">
        <v>266</v>
      </c>
      <c r="B360" s="193"/>
      <c r="C360" s="190"/>
      <c r="D360" s="107"/>
      <c r="E360" s="209"/>
      <c r="F360" s="92"/>
      <c r="G360" s="373"/>
      <c r="H360" s="374"/>
      <c r="I360" s="374"/>
      <c r="J360" s="108"/>
      <c r="K360" s="109"/>
      <c r="L360" s="120"/>
      <c r="M360" s="136"/>
      <c r="N360" s="124"/>
      <c r="O360" s="209"/>
      <c r="P360" s="379"/>
      <c r="Q360" s="380"/>
      <c r="R360" s="202"/>
      <c r="S360" s="113" t="s">
        <v>72</v>
      </c>
      <c r="T360" s="113" t="s">
        <v>134</v>
      </c>
      <c r="U360" s="132"/>
      <c r="V360" s="114" t="s">
        <v>74</v>
      </c>
      <c r="W360" s="127"/>
      <c r="X360" s="109"/>
      <c r="Y360" s="120"/>
      <c r="Z360" s="124"/>
      <c r="AA360" s="139"/>
    </row>
    <row r="361" spans="1:27" ht="15.75" thickBot="1" x14ac:dyDescent="0.3">
      <c r="A361" s="31">
        <v>267</v>
      </c>
      <c r="B361" s="193"/>
      <c r="C361" s="190"/>
      <c r="D361" s="107"/>
      <c r="E361" s="209"/>
      <c r="F361" s="92"/>
      <c r="G361" s="373"/>
      <c r="H361" s="374"/>
      <c r="I361" s="374"/>
      <c r="J361" s="108"/>
      <c r="K361" s="109"/>
      <c r="L361" s="120"/>
      <c r="M361" s="136"/>
      <c r="N361" s="124"/>
      <c r="O361" s="209"/>
      <c r="P361" s="379"/>
      <c r="Q361" s="380"/>
      <c r="R361" s="202"/>
      <c r="S361" s="113" t="s">
        <v>72</v>
      </c>
      <c r="T361" s="113" t="s">
        <v>134</v>
      </c>
      <c r="U361" s="132"/>
      <c r="V361" s="114" t="s">
        <v>74</v>
      </c>
      <c r="W361" s="127"/>
      <c r="X361" s="109"/>
      <c r="Y361" s="120"/>
      <c r="Z361" s="124"/>
      <c r="AA361" s="139"/>
    </row>
    <row r="362" spans="1:27" ht="15.75" thickBot="1" x14ac:dyDescent="0.3">
      <c r="A362" s="31">
        <v>268</v>
      </c>
      <c r="B362" s="193"/>
      <c r="C362" s="190"/>
      <c r="D362" s="107"/>
      <c r="E362" s="209"/>
      <c r="F362" s="92"/>
      <c r="G362" s="373"/>
      <c r="H362" s="374"/>
      <c r="I362" s="374"/>
      <c r="J362" s="108"/>
      <c r="K362" s="109"/>
      <c r="L362" s="120"/>
      <c r="M362" s="136"/>
      <c r="N362" s="124"/>
      <c r="O362" s="209"/>
      <c r="P362" s="379"/>
      <c r="Q362" s="380"/>
      <c r="R362" s="202"/>
      <c r="S362" s="113" t="s">
        <v>72</v>
      </c>
      <c r="T362" s="113" t="s">
        <v>134</v>
      </c>
      <c r="U362" s="132"/>
      <c r="V362" s="114" t="s">
        <v>74</v>
      </c>
      <c r="W362" s="127"/>
      <c r="X362" s="109"/>
      <c r="Y362" s="120"/>
      <c r="Z362" s="124"/>
      <c r="AA362" s="139"/>
    </row>
    <row r="363" spans="1:27" ht="15.75" thickBot="1" x14ac:dyDescent="0.3">
      <c r="A363" s="31">
        <v>269</v>
      </c>
      <c r="B363" s="193"/>
      <c r="C363" s="190"/>
      <c r="D363" s="107"/>
      <c r="E363" s="209"/>
      <c r="F363" s="92"/>
      <c r="G363" s="373"/>
      <c r="H363" s="374"/>
      <c r="I363" s="374"/>
      <c r="J363" s="108"/>
      <c r="K363" s="109"/>
      <c r="L363" s="120"/>
      <c r="M363" s="136"/>
      <c r="N363" s="124"/>
      <c r="O363" s="209"/>
      <c r="P363" s="379"/>
      <c r="Q363" s="380"/>
      <c r="R363" s="202"/>
      <c r="S363" s="113" t="s">
        <v>72</v>
      </c>
      <c r="T363" s="113" t="s">
        <v>134</v>
      </c>
      <c r="U363" s="132"/>
      <c r="V363" s="114" t="s">
        <v>74</v>
      </c>
      <c r="W363" s="127"/>
      <c r="X363" s="109"/>
      <c r="Y363" s="120"/>
      <c r="Z363" s="124"/>
      <c r="AA363" s="139"/>
    </row>
    <row r="364" spans="1:27" ht="15.75" thickBot="1" x14ac:dyDescent="0.3">
      <c r="A364" s="31">
        <v>270</v>
      </c>
      <c r="B364" s="193"/>
      <c r="C364" s="190"/>
      <c r="D364" s="107"/>
      <c r="E364" s="209"/>
      <c r="F364" s="92"/>
      <c r="G364" s="373"/>
      <c r="H364" s="374"/>
      <c r="I364" s="374"/>
      <c r="J364" s="108"/>
      <c r="K364" s="109"/>
      <c r="L364" s="120"/>
      <c r="M364" s="136"/>
      <c r="N364" s="124"/>
      <c r="O364" s="209"/>
      <c r="P364" s="379"/>
      <c r="Q364" s="380"/>
      <c r="R364" s="202"/>
      <c r="S364" s="113" t="s">
        <v>72</v>
      </c>
      <c r="T364" s="113" t="s">
        <v>134</v>
      </c>
      <c r="U364" s="132"/>
      <c r="V364" s="114" t="s">
        <v>74</v>
      </c>
      <c r="W364" s="127"/>
      <c r="X364" s="109"/>
      <c r="Y364" s="120"/>
      <c r="Z364" s="124"/>
      <c r="AA364" s="139"/>
    </row>
    <row r="365" spans="1:27" ht="15.75" thickBot="1" x14ac:dyDescent="0.3">
      <c r="A365" s="31">
        <v>271</v>
      </c>
      <c r="B365" s="193"/>
      <c r="C365" s="190"/>
      <c r="D365" s="107"/>
      <c r="E365" s="209"/>
      <c r="F365" s="92"/>
      <c r="G365" s="373"/>
      <c r="H365" s="374"/>
      <c r="I365" s="374"/>
      <c r="J365" s="108"/>
      <c r="K365" s="109"/>
      <c r="L365" s="120"/>
      <c r="M365" s="136"/>
      <c r="N365" s="124"/>
      <c r="O365" s="209"/>
      <c r="P365" s="379"/>
      <c r="Q365" s="380"/>
      <c r="R365" s="202"/>
      <c r="S365" s="113" t="s">
        <v>72</v>
      </c>
      <c r="T365" s="113" t="s">
        <v>134</v>
      </c>
      <c r="U365" s="132"/>
      <c r="V365" s="114" t="s">
        <v>74</v>
      </c>
      <c r="W365" s="127"/>
      <c r="X365" s="109"/>
      <c r="Y365" s="120"/>
      <c r="Z365" s="124"/>
      <c r="AA365" s="139"/>
    </row>
    <row r="366" spans="1:27" ht="15.75" thickBot="1" x14ac:dyDescent="0.3">
      <c r="A366" s="31">
        <v>272</v>
      </c>
      <c r="B366" s="193"/>
      <c r="C366" s="190"/>
      <c r="D366" s="107"/>
      <c r="E366" s="209"/>
      <c r="F366" s="92"/>
      <c r="G366" s="373"/>
      <c r="H366" s="374"/>
      <c r="I366" s="374"/>
      <c r="J366" s="108"/>
      <c r="K366" s="109"/>
      <c r="L366" s="120"/>
      <c r="M366" s="136"/>
      <c r="N366" s="124"/>
      <c r="O366" s="209"/>
      <c r="P366" s="379"/>
      <c r="Q366" s="380"/>
      <c r="R366" s="202"/>
      <c r="S366" s="113" t="s">
        <v>72</v>
      </c>
      <c r="T366" s="113" t="s">
        <v>134</v>
      </c>
      <c r="U366" s="132"/>
      <c r="V366" s="114" t="s">
        <v>74</v>
      </c>
      <c r="W366" s="127"/>
      <c r="X366" s="109"/>
      <c r="Y366" s="120"/>
      <c r="Z366" s="124"/>
      <c r="AA366" s="139"/>
    </row>
    <row r="367" spans="1:27" ht="15.75" thickBot="1" x14ac:dyDescent="0.3">
      <c r="A367" s="31">
        <v>273</v>
      </c>
      <c r="B367" s="193"/>
      <c r="C367" s="190"/>
      <c r="D367" s="107"/>
      <c r="E367" s="209"/>
      <c r="F367" s="92"/>
      <c r="G367" s="373"/>
      <c r="H367" s="374"/>
      <c r="I367" s="374"/>
      <c r="J367" s="108"/>
      <c r="K367" s="109"/>
      <c r="L367" s="120"/>
      <c r="M367" s="136"/>
      <c r="N367" s="124"/>
      <c r="O367" s="209"/>
      <c r="P367" s="379"/>
      <c r="Q367" s="380"/>
      <c r="R367" s="202"/>
      <c r="S367" s="113" t="s">
        <v>72</v>
      </c>
      <c r="T367" s="113" t="s">
        <v>134</v>
      </c>
      <c r="U367" s="132"/>
      <c r="V367" s="114" t="s">
        <v>74</v>
      </c>
      <c r="W367" s="127"/>
      <c r="X367" s="109"/>
      <c r="Y367" s="120"/>
      <c r="Z367" s="124"/>
      <c r="AA367" s="139"/>
    </row>
    <row r="368" spans="1:27" ht="15.75" thickBot="1" x14ac:dyDescent="0.3">
      <c r="A368" s="31">
        <v>274</v>
      </c>
      <c r="B368" s="193"/>
      <c r="C368" s="190"/>
      <c r="D368" s="107"/>
      <c r="E368" s="209"/>
      <c r="F368" s="92"/>
      <c r="G368" s="373"/>
      <c r="H368" s="374"/>
      <c r="I368" s="374"/>
      <c r="J368" s="108"/>
      <c r="K368" s="109"/>
      <c r="L368" s="120"/>
      <c r="M368" s="136"/>
      <c r="N368" s="124"/>
      <c r="O368" s="209"/>
      <c r="P368" s="379"/>
      <c r="Q368" s="380"/>
      <c r="R368" s="202"/>
      <c r="S368" s="113" t="s">
        <v>72</v>
      </c>
      <c r="T368" s="113" t="s">
        <v>134</v>
      </c>
      <c r="U368" s="132"/>
      <c r="V368" s="114" t="s">
        <v>74</v>
      </c>
      <c r="W368" s="127"/>
      <c r="X368" s="109"/>
      <c r="Y368" s="120"/>
      <c r="Z368" s="124"/>
      <c r="AA368" s="139"/>
    </row>
    <row r="369" spans="1:27" ht="15.75" thickBot="1" x14ac:dyDescent="0.3">
      <c r="A369" s="31">
        <v>275</v>
      </c>
      <c r="B369" s="193"/>
      <c r="C369" s="190"/>
      <c r="D369" s="107"/>
      <c r="E369" s="209"/>
      <c r="F369" s="92"/>
      <c r="G369" s="373"/>
      <c r="H369" s="374"/>
      <c r="I369" s="374"/>
      <c r="J369" s="108"/>
      <c r="K369" s="109"/>
      <c r="L369" s="120"/>
      <c r="M369" s="136"/>
      <c r="N369" s="124"/>
      <c r="O369" s="209"/>
      <c r="P369" s="379"/>
      <c r="Q369" s="380"/>
      <c r="R369" s="202"/>
      <c r="S369" s="113" t="s">
        <v>72</v>
      </c>
      <c r="T369" s="113" t="s">
        <v>134</v>
      </c>
      <c r="U369" s="132"/>
      <c r="V369" s="114" t="s">
        <v>74</v>
      </c>
      <c r="W369" s="127"/>
      <c r="X369" s="109"/>
      <c r="Y369" s="120"/>
      <c r="Z369" s="124"/>
      <c r="AA369" s="139"/>
    </row>
    <row r="370" spans="1:27" ht="15.75" thickBot="1" x14ac:dyDescent="0.3">
      <c r="A370" s="31">
        <v>276</v>
      </c>
      <c r="B370" s="193"/>
      <c r="C370" s="190"/>
      <c r="D370" s="107"/>
      <c r="E370" s="209"/>
      <c r="F370" s="92"/>
      <c r="G370" s="373"/>
      <c r="H370" s="374"/>
      <c r="I370" s="374"/>
      <c r="J370" s="108"/>
      <c r="K370" s="109"/>
      <c r="L370" s="120"/>
      <c r="M370" s="136"/>
      <c r="N370" s="124"/>
      <c r="O370" s="209"/>
      <c r="P370" s="379"/>
      <c r="Q370" s="380"/>
      <c r="R370" s="202"/>
      <c r="S370" s="113" t="s">
        <v>72</v>
      </c>
      <c r="T370" s="113" t="s">
        <v>134</v>
      </c>
      <c r="U370" s="132"/>
      <c r="V370" s="114" t="s">
        <v>74</v>
      </c>
      <c r="W370" s="127"/>
      <c r="X370" s="109"/>
      <c r="Y370" s="120"/>
      <c r="Z370" s="124"/>
      <c r="AA370" s="139"/>
    </row>
    <row r="371" spans="1:27" ht="15.75" thickBot="1" x14ac:dyDescent="0.3">
      <c r="A371" s="31">
        <v>277</v>
      </c>
      <c r="B371" s="193"/>
      <c r="C371" s="190"/>
      <c r="D371" s="107"/>
      <c r="E371" s="209"/>
      <c r="F371" s="92"/>
      <c r="G371" s="373"/>
      <c r="H371" s="374"/>
      <c r="I371" s="374"/>
      <c r="J371" s="108"/>
      <c r="K371" s="109"/>
      <c r="L371" s="120"/>
      <c r="M371" s="136"/>
      <c r="N371" s="124"/>
      <c r="O371" s="209"/>
      <c r="P371" s="379"/>
      <c r="Q371" s="380"/>
      <c r="R371" s="202"/>
      <c r="S371" s="113" t="s">
        <v>72</v>
      </c>
      <c r="T371" s="113" t="s">
        <v>134</v>
      </c>
      <c r="U371" s="132"/>
      <c r="V371" s="114" t="s">
        <v>74</v>
      </c>
      <c r="W371" s="127"/>
      <c r="X371" s="109"/>
      <c r="Y371" s="120"/>
      <c r="Z371" s="124"/>
      <c r="AA371" s="139"/>
    </row>
    <row r="372" spans="1:27" ht="15.75" thickBot="1" x14ac:dyDescent="0.3">
      <c r="A372" s="31">
        <v>278</v>
      </c>
      <c r="B372" s="193"/>
      <c r="C372" s="190"/>
      <c r="D372" s="107"/>
      <c r="E372" s="209"/>
      <c r="F372" s="92"/>
      <c r="G372" s="373"/>
      <c r="H372" s="374"/>
      <c r="I372" s="374"/>
      <c r="J372" s="108"/>
      <c r="K372" s="109"/>
      <c r="L372" s="120"/>
      <c r="M372" s="136"/>
      <c r="N372" s="124"/>
      <c r="O372" s="209"/>
      <c r="P372" s="379"/>
      <c r="Q372" s="380"/>
      <c r="R372" s="202"/>
      <c r="S372" s="113" t="s">
        <v>72</v>
      </c>
      <c r="T372" s="113" t="s">
        <v>134</v>
      </c>
      <c r="U372" s="132"/>
      <c r="V372" s="114" t="s">
        <v>74</v>
      </c>
      <c r="W372" s="127"/>
      <c r="X372" s="109"/>
      <c r="Y372" s="120"/>
      <c r="Z372" s="124"/>
      <c r="AA372" s="139"/>
    </row>
    <row r="373" spans="1:27" ht="15.75" thickBot="1" x14ac:dyDescent="0.3">
      <c r="A373" s="31">
        <v>279</v>
      </c>
      <c r="B373" s="193"/>
      <c r="C373" s="190"/>
      <c r="D373" s="107"/>
      <c r="E373" s="209"/>
      <c r="F373" s="92"/>
      <c r="G373" s="373"/>
      <c r="H373" s="374"/>
      <c r="I373" s="374"/>
      <c r="J373" s="108"/>
      <c r="K373" s="109"/>
      <c r="L373" s="120"/>
      <c r="M373" s="136"/>
      <c r="N373" s="124"/>
      <c r="O373" s="209"/>
      <c r="P373" s="379"/>
      <c r="Q373" s="380"/>
      <c r="R373" s="202"/>
      <c r="S373" s="113" t="s">
        <v>72</v>
      </c>
      <c r="T373" s="113" t="s">
        <v>134</v>
      </c>
      <c r="U373" s="132"/>
      <c r="V373" s="114" t="s">
        <v>74</v>
      </c>
      <c r="W373" s="127"/>
      <c r="X373" s="109"/>
      <c r="Y373" s="120"/>
      <c r="Z373" s="124"/>
      <c r="AA373" s="139"/>
    </row>
    <row r="374" spans="1:27" ht="15.75" thickBot="1" x14ac:dyDescent="0.3">
      <c r="A374" s="31">
        <v>280</v>
      </c>
      <c r="B374" s="193"/>
      <c r="C374" s="190"/>
      <c r="D374" s="107"/>
      <c r="E374" s="209"/>
      <c r="F374" s="92"/>
      <c r="G374" s="373"/>
      <c r="H374" s="374"/>
      <c r="I374" s="374"/>
      <c r="J374" s="108"/>
      <c r="K374" s="109"/>
      <c r="L374" s="120"/>
      <c r="M374" s="136"/>
      <c r="N374" s="124"/>
      <c r="O374" s="209"/>
      <c r="P374" s="379"/>
      <c r="Q374" s="380"/>
      <c r="R374" s="202"/>
      <c r="S374" s="113" t="s">
        <v>72</v>
      </c>
      <c r="T374" s="113" t="s">
        <v>134</v>
      </c>
      <c r="U374" s="132"/>
      <c r="V374" s="114" t="s">
        <v>74</v>
      </c>
      <c r="W374" s="127"/>
      <c r="X374" s="109"/>
      <c r="Y374" s="120"/>
      <c r="Z374" s="124"/>
      <c r="AA374" s="139"/>
    </row>
    <row r="375" spans="1:27" ht="15.75" thickBot="1" x14ac:dyDescent="0.3">
      <c r="A375" s="31">
        <v>281</v>
      </c>
      <c r="B375" s="193"/>
      <c r="C375" s="190"/>
      <c r="D375" s="107"/>
      <c r="E375" s="209"/>
      <c r="F375" s="92"/>
      <c r="G375" s="373"/>
      <c r="H375" s="374"/>
      <c r="I375" s="374"/>
      <c r="J375" s="108"/>
      <c r="K375" s="109"/>
      <c r="L375" s="120"/>
      <c r="M375" s="136"/>
      <c r="N375" s="124"/>
      <c r="O375" s="209"/>
      <c r="P375" s="379"/>
      <c r="Q375" s="380"/>
      <c r="R375" s="202"/>
      <c r="S375" s="113" t="s">
        <v>72</v>
      </c>
      <c r="T375" s="113" t="s">
        <v>134</v>
      </c>
      <c r="U375" s="132"/>
      <c r="V375" s="114" t="s">
        <v>74</v>
      </c>
      <c r="W375" s="127"/>
      <c r="X375" s="109"/>
      <c r="Y375" s="120"/>
      <c r="Z375" s="124"/>
      <c r="AA375" s="139"/>
    </row>
    <row r="376" spans="1:27" ht="15.75" thickBot="1" x14ac:dyDescent="0.3">
      <c r="A376" s="31">
        <v>282</v>
      </c>
      <c r="B376" s="193"/>
      <c r="C376" s="190"/>
      <c r="D376" s="107"/>
      <c r="E376" s="209"/>
      <c r="F376" s="92"/>
      <c r="G376" s="373"/>
      <c r="H376" s="374"/>
      <c r="I376" s="374"/>
      <c r="J376" s="108"/>
      <c r="K376" s="109"/>
      <c r="L376" s="120"/>
      <c r="M376" s="136"/>
      <c r="N376" s="124"/>
      <c r="O376" s="209"/>
      <c r="P376" s="379"/>
      <c r="Q376" s="380"/>
      <c r="R376" s="202"/>
      <c r="S376" s="113" t="s">
        <v>72</v>
      </c>
      <c r="T376" s="113" t="s">
        <v>134</v>
      </c>
      <c r="U376" s="132"/>
      <c r="V376" s="114" t="s">
        <v>74</v>
      </c>
      <c r="W376" s="127"/>
      <c r="X376" s="109"/>
      <c r="Y376" s="120"/>
      <c r="Z376" s="124"/>
      <c r="AA376" s="139"/>
    </row>
    <row r="377" spans="1:27" ht="15.75" thickBot="1" x14ac:dyDescent="0.3">
      <c r="A377" s="31">
        <v>283</v>
      </c>
      <c r="B377" s="193"/>
      <c r="C377" s="190"/>
      <c r="D377" s="107"/>
      <c r="E377" s="209"/>
      <c r="F377" s="92"/>
      <c r="G377" s="373"/>
      <c r="H377" s="374"/>
      <c r="I377" s="374"/>
      <c r="J377" s="108"/>
      <c r="K377" s="109"/>
      <c r="L377" s="120"/>
      <c r="M377" s="136"/>
      <c r="N377" s="124"/>
      <c r="O377" s="209"/>
      <c r="P377" s="379"/>
      <c r="Q377" s="380"/>
      <c r="R377" s="202"/>
      <c r="S377" s="113" t="s">
        <v>72</v>
      </c>
      <c r="T377" s="113" t="s">
        <v>134</v>
      </c>
      <c r="U377" s="132"/>
      <c r="V377" s="114" t="s">
        <v>74</v>
      </c>
      <c r="W377" s="127"/>
      <c r="X377" s="109"/>
      <c r="Y377" s="120"/>
      <c r="Z377" s="124"/>
      <c r="AA377" s="139"/>
    </row>
    <row r="378" spans="1:27" ht="15.75" thickBot="1" x14ac:dyDescent="0.3">
      <c r="A378" s="31">
        <v>284</v>
      </c>
      <c r="B378" s="193"/>
      <c r="C378" s="190"/>
      <c r="D378" s="107"/>
      <c r="E378" s="209"/>
      <c r="F378" s="92"/>
      <c r="G378" s="373"/>
      <c r="H378" s="374"/>
      <c r="I378" s="374"/>
      <c r="J378" s="108"/>
      <c r="K378" s="109"/>
      <c r="L378" s="120"/>
      <c r="M378" s="136"/>
      <c r="N378" s="124"/>
      <c r="O378" s="209"/>
      <c r="P378" s="379"/>
      <c r="Q378" s="380"/>
      <c r="R378" s="202"/>
      <c r="S378" s="113" t="s">
        <v>72</v>
      </c>
      <c r="T378" s="113" t="s">
        <v>134</v>
      </c>
      <c r="U378" s="132"/>
      <c r="V378" s="114" t="s">
        <v>74</v>
      </c>
      <c r="W378" s="127"/>
      <c r="X378" s="109"/>
      <c r="Y378" s="120"/>
      <c r="Z378" s="124"/>
      <c r="AA378" s="139"/>
    </row>
    <row r="379" spans="1:27" ht="15.75" thickBot="1" x14ac:dyDescent="0.3">
      <c r="A379" s="31">
        <v>285</v>
      </c>
      <c r="B379" s="193"/>
      <c r="C379" s="190"/>
      <c r="D379" s="107"/>
      <c r="E379" s="209"/>
      <c r="F379" s="92"/>
      <c r="G379" s="373"/>
      <c r="H379" s="374"/>
      <c r="I379" s="374"/>
      <c r="J379" s="108"/>
      <c r="K379" s="109"/>
      <c r="L379" s="120"/>
      <c r="M379" s="136"/>
      <c r="N379" s="124"/>
      <c r="O379" s="209"/>
      <c r="P379" s="379"/>
      <c r="Q379" s="380"/>
      <c r="R379" s="202"/>
      <c r="S379" s="113" t="s">
        <v>72</v>
      </c>
      <c r="T379" s="113" t="s">
        <v>134</v>
      </c>
      <c r="U379" s="132"/>
      <c r="V379" s="114" t="s">
        <v>74</v>
      </c>
      <c r="W379" s="127"/>
      <c r="X379" s="109"/>
      <c r="Y379" s="120"/>
      <c r="Z379" s="124"/>
      <c r="AA379" s="139"/>
    </row>
    <row r="380" spans="1:27" ht="15.75" thickBot="1" x14ac:dyDescent="0.3">
      <c r="A380" s="31">
        <v>286</v>
      </c>
      <c r="B380" s="193"/>
      <c r="C380" s="190"/>
      <c r="D380" s="107"/>
      <c r="E380" s="209"/>
      <c r="F380" s="92"/>
      <c r="G380" s="373"/>
      <c r="H380" s="374"/>
      <c r="I380" s="374"/>
      <c r="J380" s="108"/>
      <c r="K380" s="109"/>
      <c r="L380" s="120"/>
      <c r="M380" s="136"/>
      <c r="N380" s="124"/>
      <c r="O380" s="209"/>
      <c r="P380" s="379"/>
      <c r="Q380" s="380"/>
      <c r="R380" s="202"/>
      <c r="S380" s="113" t="s">
        <v>72</v>
      </c>
      <c r="T380" s="113" t="s">
        <v>134</v>
      </c>
      <c r="U380" s="132"/>
      <c r="V380" s="114" t="s">
        <v>74</v>
      </c>
      <c r="W380" s="127"/>
      <c r="X380" s="109"/>
      <c r="Y380" s="120"/>
      <c r="Z380" s="124"/>
      <c r="AA380" s="139"/>
    </row>
    <row r="381" spans="1:27" ht="15.75" thickBot="1" x14ac:dyDescent="0.3">
      <c r="A381" s="31">
        <v>287</v>
      </c>
      <c r="B381" s="193"/>
      <c r="C381" s="190"/>
      <c r="D381" s="107"/>
      <c r="E381" s="209"/>
      <c r="F381" s="92"/>
      <c r="G381" s="373"/>
      <c r="H381" s="374"/>
      <c r="I381" s="374"/>
      <c r="J381" s="108"/>
      <c r="K381" s="109"/>
      <c r="L381" s="120"/>
      <c r="M381" s="136"/>
      <c r="N381" s="124"/>
      <c r="O381" s="209"/>
      <c r="P381" s="379"/>
      <c r="Q381" s="380"/>
      <c r="R381" s="202"/>
      <c r="S381" s="113" t="s">
        <v>72</v>
      </c>
      <c r="T381" s="113" t="s">
        <v>134</v>
      </c>
      <c r="U381" s="132"/>
      <c r="V381" s="114" t="s">
        <v>74</v>
      </c>
      <c r="W381" s="127"/>
      <c r="X381" s="109"/>
      <c r="Y381" s="120"/>
      <c r="Z381" s="124"/>
      <c r="AA381" s="139"/>
    </row>
    <row r="382" spans="1:27" ht="15.75" thickBot="1" x14ac:dyDescent="0.3">
      <c r="A382" s="31">
        <v>288</v>
      </c>
      <c r="B382" s="193"/>
      <c r="C382" s="190"/>
      <c r="D382" s="107"/>
      <c r="E382" s="209"/>
      <c r="F382" s="92"/>
      <c r="G382" s="373"/>
      <c r="H382" s="374"/>
      <c r="I382" s="374"/>
      <c r="J382" s="108"/>
      <c r="K382" s="109"/>
      <c r="L382" s="120"/>
      <c r="M382" s="136"/>
      <c r="N382" s="124"/>
      <c r="O382" s="209"/>
      <c r="P382" s="379"/>
      <c r="Q382" s="380"/>
      <c r="R382" s="202"/>
      <c r="S382" s="113" t="s">
        <v>72</v>
      </c>
      <c r="T382" s="113" t="s">
        <v>134</v>
      </c>
      <c r="U382" s="132"/>
      <c r="V382" s="114" t="s">
        <v>74</v>
      </c>
      <c r="W382" s="127"/>
      <c r="X382" s="109"/>
      <c r="Y382" s="120"/>
      <c r="Z382" s="124"/>
      <c r="AA382" s="139"/>
    </row>
    <row r="383" spans="1:27" ht="15.75" thickBot="1" x14ac:dyDescent="0.3">
      <c r="A383" s="31">
        <v>289</v>
      </c>
      <c r="B383" s="193"/>
      <c r="C383" s="190"/>
      <c r="D383" s="107"/>
      <c r="E383" s="209"/>
      <c r="F383" s="92"/>
      <c r="G383" s="373"/>
      <c r="H383" s="374"/>
      <c r="I383" s="374"/>
      <c r="J383" s="108"/>
      <c r="K383" s="109"/>
      <c r="L383" s="120"/>
      <c r="M383" s="136"/>
      <c r="N383" s="124"/>
      <c r="O383" s="209"/>
      <c r="P383" s="379"/>
      <c r="Q383" s="380"/>
      <c r="R383" s="202"/>
      <c r="S383" s="113" t="s">
        <v>72</v>
      </c>
      <c r="T383" s="113" t="s">
        <v>134</v>
      </c>
      <c r="U383" s="132"/>
      <c r="V383" s="114" t="s">
        <v>74</v>
      </c>
      <c r="W383" s="127"/>
      <c r="X383" s="109"/>
      <c r="Y383" s="120"/>
      <c r="Z383" s="124"/>
      <c r="AA383" s="139"/>
    </row>
    <row r="384" spans="1:27" ht="15.75" thickBot="1" x14ac:dyDescent="0.3">
      <c r="A384" s="31">
        <v>290</v>
      </c>
      <c r="B384" s="193"/>
      <c r="C384" s="190"/>
      <c r="D384" s="107"/>
      <c r="E384" s="209"/>
      <c r="F384" s="92"/>
      <c r="G384" s="373"/>
      <c r="H384" s="374"/>
      <c r="I384" s="374"/>
      <c r="J384" s="108"/>
      <c r="K384" s="109"/>
      <c r="L384" s="120"/>
      <c r="M384" s="136"/>
      <c r="N384" s="124"/>
      <c r="O384" s="209"/>
      <c r="P384" s="379"/>
      <c r="Q384" s="380"/>
      <c r="R384" s="202"/>
      <c r="S384" s="113" t="s">
        <v>72</v>
      </c>
      <c r="T384" s="113" t="s">
        <v>134</v>
      </c>
      <c r="U384" s="132"/>
      <c r="V384" s="114" t="s">
        <v>74</v>
      </c>
      <c r="W384" s="127"/>
      <c r="X384" s="109"/>
      <c r="Y384" s="120"/>
      <c r="Z384" s="124"/>
      <c r="AA384" s="139"/>
    </row>
    <row r="385" spans="1:27" ht="15.75" thickBot="1" x14ac:dyDescent="0.3">
      <c r="A385" s="31">
        <v>291</v>
      </c>
      <c r="B385" s="193"/>
      <c r="C385" s="190"/>
      <c r="D385" s="107"/>
      <c r="E385" s="209"/>
      <c r="F385" s="92"/>
      <c r="G385" s="373"/>
      <c r="H385" s="374"/>
      <c r="I385" s="374"/>
      <c r="J385" s="108"/>
      <c r="K385" s="109"/>
      <c r="L385" s="120"/>
      <c r="M385" s="136"/>
      <c r="N385" s="124"/>
      <c r="O385" s="209"/>
      <c r="P385" s="379"/>
      <c r="Q385" s="380"/>
      <c r="R385" s="202"/>
      <c r="S385" s="113" t="s">
        <v>72</v>
      </c>
      <c r="T385" s="113" t="s">
        <v>134</v>
      </c>
      <c r="U385" s="132"/>
      <c r="V385" s="114" t="s">
        <v>74</v>
      </c>
      <c r="W385" s="127"/>
      <c r="X385" s="109"/>
      <c r="Y385" s="120"/>
      <c r="Z385" s="124"/>
      <c r="AA385" s="139"/>
    </row>
    <row r="386" spans="1:27" ht="15.75" thickBot="1" x14ac:dyDescent="0.3">
      <c r="A386" s="31">
        <v>292</v>
      </c>
      <c r="B386" s="193"/>
      <c r="C386" s="190"/>
      <c r="D386" s="107"/>
      <c r="E386" s="209"/>
      <c r="F386" s="92"/>
      <c r="G386" s="373"/>
      <c r="H386" s="374"/>
      <c r="I386" s="374"/>
      <c r="J386" s="108"/>
      <c r="K386" s="109"/>
      <c r="L386" s="120"/>
      <c r="M386" s="136"/>
      <c r="N386" s="124"/>
      <c r="O386" s="209"/>
      <c r="P386" s="379"/>
      <c r="Q386" s="380"/>
      <c r="R386" s="202"/>
      <c r="S386" s="113" t="s">
        <v>72</v>
      </c>
      <c r="T386" s="113" t="s">
        <v>134</v>
      </c>
      <c r="U386" s="132"/>
      <c r="V386" s="114" t="s">
        <v>74</v>
      </c>
      <c r="W386" s="127"/>
      <c r="X386" s="109"/>
      <c r="Y386" s="120"/>
      <c r="Z386" s="124"/>
      <c r="AA386" s="139"/>
    </row>
    <row r="387" spans="1:27" ht="15.75" thickBot="1" x14ac:dyDescent="0.3">
      <c r="A387" s="31">
        <v>293</v>
      </c>
      <c r="B387" s="193"/>
      <c r="C387" s="190"/>
      <c r="D387" s="107"/>
      <c r="E387" s="209"/>
      <c r="F387" s="92"/>
      <c r="G387" s="373"/>
      <c r="H387" s="374"/>
      <c r="I387" s="374"/>
      <c r="J387" s="108"/>
      <c r="K387" s="109"/>
      <c r="L387" s="120"/>
      <c r="M387" s="136"/>
      <c r="N387" s="124"/>
      <c r="O387" s="209"/>
      <c r="P387" s="379"/>
      <c r="Q387" s="380"/>
      <c r="R387" s="202"/>
      <c r="S387" s="113" t="s">
        <v>72</v>
      </c>
      <c r="T387" s="113" t="s">
        <v>134</v>
      </c>
      <c r="U387" s="132"/>
      <c r="V387" s="114" t="s">
        <v>74</v>
      </c>
      <c r="W387" s="127"/>
      <c r="X387" s="109"/>
      <c r="Y387" s="120"/>
      <c r="Z387" s="124"/>
      <c r="AA387" s="139"/>
    </row>
    <row r="388" spans="1:27" ht="15.75" thickBot="1" x14ac:dyDescent="0.3">
      <c r="A388" s="31">
        <v>294</v>
      </c>
      <c r="B388" s="193"/>
      <c r="C388" s="190"/>
      <c r="D388" s="107"/>
      <c r="E388" s="209"/>
      <c r="F388" s="92"/>
      <c r="G388" s="373"/>
      <c r="H388" s="374"/>
      <c r="I388" s="374"/>
      <c r="J388" s="108"/>
      <c r="K388" s="109"/>
      <c r="L388" s="120"/>
      <c r="M388" s="136"/>
      <c r="N388" s="124"/>
      <c r="O388" s="209"/>
      <c r="P388" s="379"/>
      <c r="Q388" s="380"/>
      <c r="R388" s="202"/>
      <c r="S388" s="113" t="s">
        <v>72</v>
      </c>
      <c r="T388" s="113" t="s">
        <v>134</v>
      </c>
      <c r="U388" s="132"/>
      <c r="V388" s="114" t="s">
        <v>74</v>
      </c>
      <c r="W388" s="127"/>
      <c r="X388" s="109"/>
      <c r="Y388" s="120"/>
      <c r="Z388" s="124"/>
      <c r="AA388" s="139"/>
    </row>
    <row r="389" spans="1:27" ht="15.75" thickBot="1" x14ac:dyDescent="0.3">
      <c r="A389" s="31">
        <v>295</v>
      </c>
      <c r="B389" s="193"/>
      <c r="C389" s="190"/>
      <c r="D389" s="107"/>
      <c r="E389" s="209"/>
      <c r="F389" s="92"/>
      <c r="G389" s="373"/>
      <c r="H389" s="374"/>
      <c r="I389" s="374"/>
      <c r="J389" s="108"/>
      <c r="K389" s="109"/>
      <c r="L389" s="120"/>
      <c r="M389" s="136"/>
      <c r="N389" s="124"/>
      <c r="O389" s="209"/>
      <c r="P389" s="379"/>
      <c r="Q389" s="380"/>
      <c r="R389" s="202"/>
      <c r="S389" s="113" t="s">
        <v>72</v>
      </c>
      <c r="T389" s="113" t="s">
        <v>134</v>
      </c>
      <c r="U389" s="132"/>
      <c r="V389" s="114" t="s">
        <v>74</v>
      </c>
      <c r="W389" s="127"/>
      <c r="X389" s="109"/>
      <c r="Y389" s="120"/>
      <c r="Z389" s="124"/>
      <c r="AA389" s="139"/>
    </row>
    <row r="390" spans="1:27" ht="15.75" thickBot="1" x14ac:dyDescent="0.3">
      <c r="A390" s="31">
        <v>296</v>
      </c>
      <c r="B390" s="193"/>
      <c r="C390" s="190"/>
      <c r="D390" s="107"/>
      <c r="E390" s="209"/>
      <c r="F390" s="92"/>
      <c r="G390" s="373"/>
      <c r="H390" s="374"/>
      <c r="I390" s="374"/>
      <c r="J390" s="108"/>
      <c r="K390" s="109"/>
      <c r="L390" s="120"/>
      <c r="M390" s="136"/>
      <c r="N390" s="124"/>
      <c r="O390" s="209"/>
      <c r="P390" s="379"/>
      <c r="Q390" s="380"/>
      <c r="R390" s="202"/>
      <c r="S390" s="113" t="s">
        <v>72</v>
      </c>
      <c r="T390" s="113" t="s">
        <v>134</v>
      </c>
      <c r="U390" s="132"/>
      <c r="V390" s="114" t="s">
        <v>74</v>
      </c>
      <c r="W390" s="127"/>
      <c r="X390" s="109"/>
      <c r="Y390" s="120"/>
      <c r="Z390" s="124"/>
      <c r="AA390" s="139"/>
    </row>
    <row r="391" spans="1:27" ht="15.75" thickBot="1" x14ac:dyDescent="0.3">
      <c r="A391" s="31">
        <v>297</v>
      </c>
      <c r="B391" s="193"/>
      <c r="C391" s="190"/>
      <c r="D391" s="107"/>
      <c r="E391" s="209"/>
      <c r="F391" s="92"/>
      <c r="G391" s="373"/>
      <c r="H391" s="374"/>
      <c r="I391" s="374"/>
      <c r="J391" s="108"/>
      <c r="K391" s="109"/>
      <c r="L391" s="120"/>
      <c r="M391" s="136"/>
      <c r="N391" s="124"/>
      <c r="O391" s="209"/>
      <c r="P391" s="379"/>
      <c r="Q391" s="380"/>
      <c r="R391" s="202"/>
      <c r="S391" s="113" t="s">
        <v>72</v>
      </c>
      <c r="T391" s="113" t="s">
        <v>134</v>
      </c>
      <c r="U391" s="132"/>
      <c r="V391" s="114" t="s">
        <v>74</v>
      </c>
      <c r="W391" s="127"/>
      <c r="X391" s="109"/>
      <c r="Y391" s="120"/>
      <c r="Z391" s="124"/>
      <c r="AA391" s="139"/>
    </row>
    <row r="392" spans="1:27" ht="15.75" thickBot="1" x14ac:dyDescent="0.3">
      <c r="A392" s="31">
        <v>298</v>
      </c>
      <c r="B392" s="193"/>
      <c r="C392" s="190"/>
      <c r="D392" s="107"/>
      <c r="E392" s="209"/>
      <c r="F392" s="92"/>
      <c r="G392" s="373"/>
      <c r="H392" s="374"/>
      <c r="I392" s="374"/>
      <c r="J392" s="108"/>
      <c r="K392" s="109"/>
      <c r="L392" s="120"/>
      <c r="M392" s="136"/>
      <c r="N392" s="124"/>
      <c r="O392" s="209"/>
      <c r="P392" s="379"/>
      <c r="Q392" s="380"/>
      <c r="R392" s="202"/>
      <c r="S392" s="113" t="s">
        <v>72</v>
      </c>
      <c r="T392" s="113" t="s">
        <v>134</v>
      </c>
      <c r="U392" s="132"/>
      <c r="V392" s="114" t="s">
        <v>74</v>
      </c>
      <c r="W392" s="127"/>
      <c r="X392" s="109"/>
      <c r="Y392" s="120"/>
      <c r="Z392" s="124"/>
      <c r="AA392" s="139"/>
    </row>
    <row r="393" spans="1:27" ht="15.75" thickBot="1" x14ac:dyDescent="0.3">
      <c r="A393" s="31">
        <v>299</v>
      </c>
      <c r="B393" s="193"/>
      <c r="C393" s="190"/>
      <c r="D393" s="107"/>
      <c r="E393" s="209"/>
      <c r="F393" s="92"/>
      <c r="G393" s="373"/>
      <c r="H393" s="374"/>
      <c r="I393" s="374"/>
      <c r="J393" s="108"/>
      <c r="K393" s="109"/>
      <c r="L393" s="120"/>
      <c r="M393" s="136"/>
      <c r="N393" s="124"/>
      <c r="O393" s="209"/>
      <c r="P393" s="379"/>
      <c r="Q393" s="380"/>
      <c r="R393" s="202"/>
      <c r="S393" s="113" t="s">
        <v>72</v>
      </c>
      <c r="T393" s="113" t="s">
        <v>134</v>
      </c>
      <c r="U393" s="132"/>
      <c r="V393" s="114" t="s">
        <v>74</v>
      </c>
      <c r="W393" s="127"/>
      <c r="X393" s="109"/>
      <c r="Y393" s="120"/>
      <c r="Z393" s="124"/>
      <c r="AA393" s="139"/>
    </row>
    <row r="394" spans="1:27" ht="15.75" thickBot="1" x14ac:dyDescent="0.3">
      <c r="A394" s="31">
        <v>300</v>
      </c>
      <c r="B394" s="193"/>
      <c r="C394" s="190"/>
      <c r="D394" s="107"/>
      <c r="E394" s="209"/>
      <c r="F394" s="92"/>
      <c r="G394" s="373"/>
      <c r="H394" s="374"/>
      <c r="I394" s="374"/>
      <c r="J394" s="108"/>
      <c r="K394" s="109"/>
      <c r="L394" s="120"/>
      <c r="M394" s="136"/>
      <c r="N394" s="124"/>
      <c r="O394" s="209"/>
      <c r="P394" s="379"/>
      <c r="Q394" s="380"/>
      <c r="R394" s="202"/>
      <c r="S394" s="113" t="s">
        <v>72</v>
      </c>
      <c r="T394" s="113" t="s">
        <v>134</v>
      </c>
      <c r="U394" s="132"/>
      <c r="V394" s="114" t="s">
        <v>74</v>
      </c>
      <c r="W394" s="127"/>
      <c r="X394" s="109"/>
      <c r="Y394" s="120"/>
      <c r="Z394" s="124"/>
      <c r="AA394" s="139"/>
    </row>
    <row r="395" spans="1:27" ht="15.75" thickBot="1" x14ac:dyDescent="0.3">
      <c r="A395" s="31">
        <v>301</v>
      </c>
      <c r="B395" s="193"/>
      <c r="C395" s="190"/>
      <c r="D395" s="107"/>
      <c r="E395" s="209"/>
      <c r="F395" s="92"/>
      <c r="G395" s="373"/>
      <c r="H395" s="374"/>
      <c r="I395" s="374"/>
      <c r="J395" s="108"/>
      <c r="K395" s="109"/>
      <c r="L395" s="120"/>
      <c r="M395" s="136"/>
      <c r="N395" s="124"/>
      <c r="O395" s="209"/>
      <c r="P395" s="379"/>
      <c r="Q395" s="380"/>
      <c r="R395" s="202"/>
      <c r="S395" s="113" t="s">
        <v>72</v>
      </c>
      <c r="T395" s="113" t="s">
        <v>134</v>
      </c>
      <c r="U395" s="132"/>
      <c r="V395" s="114" t="s">
        <v>74</v>
      </c>
      <c r="W395" s="127"/>
      <c r="X395" s="109"/>
      <c r="Y395" s="120"/>
      <c r="Z395" s="124"/>
      <c r="AA395" s="139"/>
    </row>
    <row r="396" spans="1:27" ht="15.75" thickBot="1" x14ac:dyDescent="0.3">
      <c r="A396" s="31">
        <v>302</v>
      </c>
      <c r="B396" s="193"/>
      <c r="C396" s="190"/>
      <c r="D396" s="107"/>
      <c r="E396" s="209"/>
      <c r="F396" s="92"/>
      <c r="G396" s="373"/>
      <c r="H396" s="374"/>
      <c r="I396" s="374"/>
      <c r="J396" s="108"/>
      <c r="K396" s="109"/>
      <c r="L396" s="120"/>
      <c r="M396" s="136"/>
      <c r="N396" s="124"/>
      <c r="O396" s="209"/>
      <c r="P396" s="379"/>
      <c r="Q396" s="380"/>
      <c r="R396" s="202"/>
      <c r="S396" s="113" t="s">
        <v>72</v>
      </c>
      <c r="T396" s="113" t="s">
        <v>134</v>
      </c>
      <c r="U396" s="132"/>
      <c r="V396" s="114" t="s">
        <v>74</v>
      </c>
      <c r="W396" s="127"/>
      <c r="X396" s="109"/>
      <c r="Y396" s="120"/>
      <c r="Z396" s="124"/>
      <c r="AA396" s="139"/>
    </row>
    <row r="397" spans="1:27" ht="15.75" thickBot="1" x14ac:dyDescent="0.3">
      <c r="A397" s="31">
        <v>303</v>
      </c>
      <c r="B397" s="193"/>
      <c r="C397" s="190"/>
      <c r="D397" s="107"/>
      <c r="E397" s="209"/>
      <c r="F397" s="92"/>
      <c r="G397" s="373"/>
      <c r="H397" s="374"/>
      <c r="I397" s="374"/>
      <c r="J397" s="108"/>
      <c r="K397" s="109"/>
      <c r="L397" s="120"/>
      <c r="M397" s="136"/>
      <c r="N397" s="124"/>
      <c r="O397" s="209"/>
      <c r="P397" s="379"/>
      <c r="Q397" s="380"/>
      <c r="R397" s="202"/>
      <c r="S397" s="113" t="s">
        <v>72</v>
      </c>
      <c r="T397" s="113" t="s">
        <v>134</v>
      </c>
      <c r="U397" s="132"/>
      <c r="V397" s="114" t="s">
        <v>74</v>
      </c>
      <c r="W397" s="127"/>
      <c r="X397" s="109"/>
      <c r="Y397" s="120"/>
      <c r="Z397" s="124"/>
      <c r="AA397" s="139"/>
    </row>
    <row r="398" spans="1:27" ht="15.75" thickBot="1" x14ac:dyDescent="0.3">
      <c r="A398" s="31">
        <v>304</v>
      </c>
      <c r="B398" s="193"/>
      <c r="C398" s="190"/>
      <c r="D398" s="107"/>
      <c r="E398" s="209"/>
      <c r="F398" s="92"/>
      <c r="G398" s="373"/>
      <c r="H398" s="374"/>
      <c r="I398" s="374"/>
      <c r="J398" s="108"/>
      <c r="K398" s="109"/>
      <c r="L398" s="120"/>
      <c r="M398" s="136"/>
      <c r="N398" s="124"/>
      <c r="O398" s="209"/>
      <c r="P398" s="379"/>
      <c r="Q398" s="380"/>
      <c r="R398" s="202"/>
      <c r="S398" s="113" t="s">
        <v>72</v>
      </c>
      <c r="T398" s="113" t="s">
        <v>134</v>
      </c>
      <c r="U398" s="132"/>
      <c r="V398" s="114" t="s">
        <v>74</v>
      </c>
      <c r="W398" s="127"/>
      <c r="X398" s="109"/>
      <c r="Y398" s="120"/>
      <c r="Z398" s="124"/>
      <c r="AA398" s="139"/>
    </row>
    <row r="399" spans="1:27" ht="15.75" thickBot="1" x14ac:dyDescent="0.3">
      <c r="A399" s="31">
        <v>305</v>
      </c>
      <c r="B399" s="193"/>
      <c r="C399" s="190"/>
      <c r="D399" s="107"/>
      <c r="E399" s="209"/>
      <c r="F399" s="92"/>
      <c r="G399" s="373"/>
      <c r="H399" s="374"/>
      <c r="I399" s="374"/>
      <c r="J399" s="108"/>
      <c r="K399" s="109"/>
      <c r="L399" s="120"/>
      <c r="M399" s="136"/>
      <c r="N399" s="124"/>
      <c r="O399" s="209"/>
      <c r="P399" s="379"/>
      <c r="Q399" s="380"/>
      <c r="R399" s="202"/>
      <c r="S399" s="113" t="s">
        <v>72</v>
      </c>
      <c r="T399" s="113" t="s">
        <v>134</v>
      </c>
      <c r="U399" s="132"/>
      <c r="V399" s="114" t="s">
        <v>74</v>
      </c>
      <c r="W399" s="127"/>
      <c r="X399" s="109"/>
      <c r="Y399" s="120"/>
      <c r="Z399" s="124"/>
      <c r="AA399" s="139"/>
    </row>
    <row r="400" spans="1:27" ht="15.75" thickBot="1" x14ac:dyDescent="0.3">
      <c r="A400" s="31">
        <v>306</v>
      </c>
      <c r="B400" s="193"/>
      <c r="C400" s="190"/>
      <c r="D400" s="107"/>
      <c r="E400" s="209"/>
      <c r="F400" s="92"/>
      <c r="G400" s="373"/>
      <c r="H400" s="374"/>
      <c r="I400" s="374"/>
      <c r="J400" s="108"/>
      <c r="K400" s="109"/>
      <c r="L400" s="120"/>
      <c r="M400" s="136"/>
      <c r="N400" s="124"/>
      <c r="O400" s="209"/>
      <c r="P400" s="379"/>
      <c r="Q400" s="380"/>
      <c r="R400" s="202"/>
      <c r="S400" s="113" t="s">
        <v>72</v>
      </c>
      <c r="T400" s="113" t="s">
        <v>134</v>
      </c>
      <c r="U400" s="132"/>
      <c r="V400" s="114" t="s">
        <v>74</v>
      </c>
      <c r="W400" s="127"/>
      <c r="X400" s="109"/>
      <c r="Y400" s="120"/>
      <c r="Z400" s="124"/>
      <c r="AA400" s="139"/>
    </row>
    <row r="401" spans="1:27" ht="15.75" thickBot="1" x14ac:dyDescent="0.3">
      <c r="A401" s="31">
        <v>307</v>
      </c>
      <c r="B401" s="193"/>
      <c r="C401" s="190"/>
      <c r="D401" s="107"/>
      <c r="E401" s="209"/>
      <c r="F401" s="92"/>
      <c r="G401" s="373"/>
      <c r="H401" s="374"/>
      <c r="I401" s="374"/>
      <c r="J401" s="108"/>
      <c r="K401" s="109"/>
      <c r="L401" s="120"/>
      <c r="M401" s="136"/>
      <c r="N401" s="124"/>
      <c r="O401" s="209"/>
      <c r="P401" s="379"/>
      <c r="Q401" s="380"/>
      <c r="R401" s="202"/>
      <c r="S401" s="113" t="s">
        <v>72</v>
      </c>
      <c r="T401" s="113" t="s">
        <v>134</v>
      </c>
      <c r="U401" s="132"/>
      <c r="V401" s="114" t="s">
        <v>74</v>
      </c>
      <c r="W401" s="127"/>
      <c r="X401" s="109"/>
      <c r="Y401" s="120"/>
      <c r="Z401" s="124"/>
      <c r="AA401" s="139"/>
    </row>
    <row r="402" spans="1:27" ht="15.75" thickBot="1" x14ac:dyDescent="0.3">
      <c r="A402" s="31">
        <v>308</v>
      </c>
      <c r="B402" s="193"/>
      <c r="C402" s="190"/>
      <c r="D402" s="107"/>
      <c r="E402" s="209"/>
      <c r="F402" s="92"/>
      <c r="G402" s="373"/>
      <c r="H402" s="374"/>
      <c r="I402" s="374"/>
      <c r="J402" s="108"/>
      <c r="K402" s="109"/>
      <c r="L402" s="120"/>
      <c r="M402" s="136"/>
      <c r="N402" s="124"/>
      <c r="O402" s="209"/>
      <c r="P402" s="379"/>
      <c r="Q402" s="380"/>
      <c r="R402" s="202"/>
      <c r="S402" s="113" t="s">
        <v>72</v>
      </c>
      <c r="T402" s="113" t="s">
        <v>134</v>
      </c>
      <c r="U402" s="132"/>
      <c r="V402" s="114" t="s">
        <v>74</v>
      </c>
      <c r="W402" s="127"/>
      <c r="X402" s="109"/>
      <c r="Y402" s="120"/>
      <c r="Z402" s="124"/>
      <c r="AA402" s="139"/>
    </row>
    <row r="403" spans="1:27" ht="15.75" thickBot="1" x14ac:dyDescent="0.3">
      <c r="A403" s="31">
        <v>309</v>
      </c>
      <c r="B403" s="193"/>
      <c r="C403" s="190"/>
      <c r="D403" s="107"/>
      <c r="E403" s="209"/>
      <c r="F403" s="92"/>
      <c r="G403" s="373"/>
      <c r="H403" s="374"/>
      <c r="I403" s="374"/>
      <c r="J403" s="108"/>
      <c r="K403" s="109"/>
      <c r="L403" s="120"/>
      <c r="M403" s="136"/>
      <c r="N403" s="124"/>
      <c r="O403" s="209"/>
      <c r="P403" s="379"/>
      <c r="Q403" s="380"/>
      <c r="R403" s="202"/>
      <c r="S403" s="113" t="s">
        <v>72</v>
      </c>
      <c r="T403" s="113" t="s">
        <v>134</v>
      </c>
      <c r="U403" s="132"/>
      <c r="V403" s="114" t="s">
        <v>74</v>
      </c>
      <c r="W403" s="127"/>
      <c r="X403" s="109"/>
      <c r="Y403" s="120"/>
      <c r="Z403" s="124"/>
      <c r="AA403" s="139"/>
    </row>
    <row r="404" spans="1:27" ht="15.75" thickBot="1" x14ac:dyDescent="0.3">
      <c r="A404" s="31">
        <v>310</v>
      </c>
      <c r="B404" s="193"/>
      <c r="C404" s="190"/>
      <c r="D404" s="107"/>
      <c r="E404" s="209"/>
      <c r="F404" s="92"/>
      <c r="G404" s="373"/>
      <c r="H404" s="374"/>
      <c r="I404" s="374"/>
      <c r="J404" s="108"/>
      <c r="K404" s="109"/>
      <c r="L404" s="120"/>
      <c r="M404" s="136"/>
      <c r="N404" s="124"/>
      <c r="O404" s="209"/>
      <c r="P404" s="379"/>
      <c r="Q404" s="380"/>
      <c r="R404" s="202"/>
      <c r="S404" s="113" t="s">
        <v>72</v>
      </c>
      <c r="T404" s="113" t="s">
        <v>134</v>
      </c>
      <c r="U404" s="132"/>
      <c r="V404" s="114" t="s">
        <v>74</v>
      </c>
      <c r="W404" s="127"/>
      <c r="X404" s="109"/>
      <c r="Y404" s="120"/>
      <c r="Z404" s="124"/>
      <c r="AA404" s="139"/>
    </row>
    <row r="405" spans="1:27" ht="15.75" thickBot="1" x14ac:dyDescent="0.3">
      <c r="A405" s="31">
        <v>311</v>
      </c>
      <c r="B405" s="193"/>
      <c r="C405" s="190"/>
      <c r="D405" s="107"/>
      <c r="E405" s="209"/>
      <c r="F405" s="92"/>
      <c r="G405" s="373"/>
      <c r="H405" s="374"/>
      <c r="I405" s="374"/>
      <c r="J405" s="108"/>
      <c r="K405" s="109"/>
      <c r="L405" s="120"/>
      <c r="M405" s="136"/>
      <c r="N405" s="124"/>
      <c r="O405" s="209"/>
      <c r="P405" s="379"/>
      <c r="Q405" s="380"/>
      <c r="R405" s="202"/>
      <c r="S405" s="113" t="s">
        <v>72</v>
      </c>
      <c r="T405" s="113" t="s">
        <v>134</v>
      </c>
      <c r="U405" s="132"/>
      <c r="V405" s="114" t="s">
        <v>74</v>
      </c>
      <c r="W405" s="127"/>
      <c r="X405" s="109"/>
      <c r="Y405" s="120"/>
      <c r="Z405" s="124"/>
      <c r="AA405" s="139"/>
    </row>
    <row r="406" spans="1:27" ht="15.75" thickBot="1" x14ac:dyDescent="0.3">
      <c r="A406" s="31">
        <v>312</v>
      </c>
      <c r="B406" s="193"/>
      <c r="C406" s="190"/>
      <c r="D406" s="107"/>
      <c r="E406" s="209"/>
      <c r="F406" s="92"/>
      <c r="G406" s="373"/>
      <c r="H406" s="374"/>
      <c r="I406" s="374"/>
      <c r="J406" s="108"/>
      <c r="K406" s="109"/>
      <c r="L406" s="120"/>
      <c r="M406" s="136"/>
      <c r="N406" s="124"/>
      <c r="O406" s="209"/>
      <c r="P406" s="379"/>
      <c r="Q406" s="380"/>
      <c r="R406" s="202"/>
      <c r="S406" s="113" t="s">
        <v>72</v>
      </c>
      <c r="T406" s="113" t="s">
        <v>134</v>
      </c>
      <c r="U406" s="132"/>
      <c r="V406" s="114" t="s">
        <v>74</v>
      </c>
      <c r="W406" s="127"/>
      <c r="X406" s="109"/>
      <c r="Y406" s="120"/>
      <c r="Z406" s="124"/>
      <c r="AA406" s="139"/>
    </row>
    <row r="407" spans="1:27" ht="15.75" thickBot="1" x14ac:dyDescent="0.3">
      <c r="A407" s="31">
        <v>313</v>
      </c>
      <c r="B407" s="193"/>
      <c r="C407" s="190"/>
      <c r="D407" s="107"/>
      <c r="E407" s="209"/>
      <c r="F407" s="92"/>
      <c r="G407" s="373"/>
      <c r="H407" s="374"/>
      <c r="I407" s="374"/>
      <c r="J407" s="108"/>
      <c r="K407" s="109"/>
      <c r="L407" s="120"/>
      <c r="M407" s="136"/>
      <c r="N407" s="124"/>
      <c r="O407" s="209"/>
      <c r="P407" s="379"/>
      <c r="Q407" s="380"/>
      <c r="R407" s="202"/>
      <c r="S407" s="113" t="s">
        <v>72</v>
      </c>
      <c r="T407" s="113" t="s">
        <v>134</v>
      </c>
      <c r="U407" s="132"/>
      <c r="V407" s="114" t="s">
        <v>74</v>
      </c>
      <c r="W407" s="127"/>
      <c r="X407" s="109"/>
      <c r="Y407" s="120"/>
      <c r="Z407" s="124"/>
      <c r="AA407" s="139"/>
    </row>
    <row r="408" spans="1:27" ht="15.75" thickBot="1" x14ac:dyDescent="0.3">
      <c r="A408" s="31">
        <v>314</v>
      </c>
      <c r="B408" s="193"/>
      <c r="C408" s="190"/>
      <c r="D408" s="107"/>
      <c r="E408" s="209"/>
      <c r="F408" s="92"/>
      <c r="G408" s="373"/>
      <c r="H408" s="374"/>
      <c r="I408" s="374"/>
      <c r="J408" s="108"/>
      <c r="K408" s="109"/>
      <c r="L408" s="120"/>
      <c r="M408" s="136"/>
      <c r="N408" s="124"/>
      <c r="O408" s="209"/>
      <c r="P408" s="379"/>
      <c r="Q408" s="380"/>
      <c r="R408" s="202"/>
      <c r="S408" s="113" t="s">
        <v>72</v>
      </c>
      <c r="T408" s="113" t="s">
        <v>134</v>
      </c>
      <c r="U408" s="132"/>
      <c r="V408" s="114" t="s">
        <v>74</v>
      </c>
      <c r="W408" s="127"/>
      <c r="X408" s="109"/>
      <c r="Y408" s="120"/>
      <c r="Z408" s="124"/>
      <c r="AA408" s="139"/>
    </row>
    <row r="409" spans="1:27" ht="15.75" thickBot="1" x14ac:dyDescent="0.3">
      <c r="A409" s="31">
        <v>315</v>
      </c>
      <c r="B409" s="193"/>
      <c r="C409" s="190"/>
      <c r="D409" s="107"/>
      <c r="E409" s="209"/>
      <c r="F409" s="92"/>
      <c r="G409" s="373"/>
      <c r="H409" s="374"/>
      <c r="I409" s="374"/>
      <c r="J409" s="108"/>
      <c r="K409" s="109"/>
      <c r="L409" s="120"/>
      <c r="M409" s="136"/>
      <c r="N409" s="124"/>
      <c r="O409" s="209"/>
      <c r="P409" s="379"/>
      <c r="Q409" s="380"/>
      <c r="R409" s="202"/>
      <c r="S409" s="113" t="s">
        <v>72</v>
      </c>
      <c r="T409" s="113" t="s">
        <v>134</v>
      </c>
      <c r="U409" s="132"/>
      <c r="V409" s="114" t="s">
        <v>74</v>
      </c>
      <c r="W409" s="127"/>
      <c r="X409" s="109"/>
      <c r="Y409" s="120"/>
      <c r="Z409" s="124"/>
      <c r="AA409" s="139"/>
    </row>
    <row r="410" spans="1:27" ht="15.75" thickBot="1" x14ac:dyDescent="0.3">
      <c r="A410" s="31">
        <v>316</v>
      </c>
      <c r="B410" s="193"/>
      <c r="C410" s="190"/>
      <c r="D410" s="107"/>
      <c r="E410" s="209"/>
      <c r="F410" s="92"/>
      <c r="G410" s="373"/>
      <c r="H410" s="374"/>
      <c r="I410" s="374"/>
      <c r="J410" s="108"/>
      <c r="K410" s="109"/>
      <c r="L410" s="120"/>
      <c r="M410" s="136"/>
      <c r="N410" s="124"/>
      <c r="O410" s="209"/>
      <c r="P410" s="379"/>
      <c r="Q410" s="380"/>
      <c r="R410" s="202"/>
      <c r="S410" s="113" t="s">
        <v>72</v>
      </c>
      <c r="T410" s="113" t="s">
        <v>134</v>
      </c>
      <c r="U410" s="132"/>
      <c r="V410" s="114" t="s">
        <v>74</v>
      </c>
      <c r="W410" s="127"/>
      <c r="X410" s="109"/>
      <c r="Y410" s="120"/>
      <c r="Z410" s="124"/>
      <c r="AA410" s="139"/>
    </row>
    <row r="411" spans="1:27" ht="15.75" thickBot="1" x14ac:dyDescent="0.3">
      <c r="A411" s="31">
        <v>317</v>
      </c>
      <c r="B411" s="193"/>
      <c r="C411" s="190"/>
      <c r="D411" s="107"/>
      <c r="E411" s="209"/>
      <c r="F411" s="92"/>
      <c r="G411" s="373"/>
      <c r="H411" s="374"/>
      <c r="I411" s="374"/>
      <c r="J411" s="108"/>
      <c r="K411" s="109"/>
      <c r="L411" s="120"/>
      <c r="M411" s="136"/>
      <c r="N411" s="124"/>
      <c r="O411" s="209"/>
      <c r="P411" s="379"/>
      <c r="Q411" s="380"/>
      <c r="R411" s="202"/>
      <c r="S411" s="113" t="s">
        <v>72</v>
      </c>
      <c r="T411" s="113" t="s">
        <v>134</v>
      </c>
      <c r="U411" s="132"/>
      <c r="V411" s="114" t="s">
        <v>74</v>
      </c>
      <c r="W411" s="127"/>
      <c r="X411" s="109"/>
      <c r="Y411" s="120"/>
      <c r="Z411" s="124"/>
      <c r="AA411" s="139"/>
    </row>
    <row r="412" spans="1:27" ht="15.75" thickBot="1" x14ac:dyDescent="0.3">
      <c r="A412" s="31">
        <v>318</v>
      </c>
      <c r="B412" s="193"/>
      <c r="C412" s="190"/>
      <c r="D412" s="107"/>
      <c r="E412" s="209"/>
      <c r="F412" s="92"/>
      <c r="G412" s="373"/>
      <c r="H412" s="374"/>
      <c r="I412" s="374"/>
      <c r="J412" s="108"/>
      <c r="K412" s="109"/>
      <c r="L412" s="120"/>
      <c r="M412" s="136"/>
      <c r="N412" s="124"/>
      <c r="O412" s="209"/>
      <c r="P412" s="379"/>
      <c r="Q412" s="380"/>
      <c r="R412" s="202"/>
      <c r="S412" s="113" t="s">
        <v>72</v>
      </c>
      <c r="T412" s="113" t="s">
        <v>134</v>
      </c>
      <c r="U412" s="132"/>
      <c r="V412" s="114" t="s">
        <v>74</v>
      </c>
      <c r="W412" s="127"/>
      <c r="X412" s="109"/>
      <c r="Y412" s="120"/>
      <c r="Z412" s="124"/>
      <c r="AA412" s="139"/>
    </row>
    <row r="413" spans="1:27" ht="15.75" thickBot="1" x14ac:dyDescent="0.3">
      <c r="A413" s="31">
        <v>319</v>
      </c>
      <c r="B413" s="193"/>
      <c r="C413" s="190"/>
      <c r="D413" s="107"/>
      <c r="E413" s="209"/>
      <c r="F413" s="92"/>
      <c r="G413" s="373"/>
      <c r="H413" s="374"/>
      <c r="I413" s="374"/>
      <c r="J413" s="108"/>
      <c r="K413" s="109"/>
      <c r="L413" s="120"/>
      <c r="M413" s="136"/>
      <c r="N413" s="124"/>
      <c r="O413" s="209"/>
      <c r="P413" s="379"/>
      <c r="Q413" s="380"/>
      <c r="R413" s="202"/>
      <c r="S413" s="113" t="s">
        <v>72</v>
      </c>
      <c r="T413" s="113" t="s">
        <v>134</v>
      </c>
      <c r="U413" s="132"/>
      <c r="V413" s="114" t="s">
        <v>74</v>
      </c>
      <c r="W413" s="127"/>
      <c r="X413" s="109"/>
      <c r="Y413" s="120"/>
      <c r="Z413" s="124"/>
      <c r="AA413" s="139"/>
    </row>
    <row r="414" spans="1:27" ht="15.75" thickBot="1" x14ac:dyDescent="0.3">
      <c r="A414" s="31">
        <v>320</v>
      </c>
      <c r="B414" s="193"/>
      <c r="C414" s="190"/>
      <c r="D414" s="107"/>
      <c r="E414" s="209"/>
      <c r="F414" s="92"/>
      <c r="G414" s="373"/>
      <c r="H414" s="374"/>
      <c r="I414" s="374"/>
      <c r="J414" s="108"/>
      <c r="K414" s="109"/>
      <c r="L414" s="120"/>
      <c r="M414" s="136"/>
      <c r="N414" s="124"/>
      <c r="O414" s="209"/>
      <c r="P414" s="379"/>
      <c r="Q414" s="380"/>
      <c r="R414" s="202"/>
      <c r="S414" s="113" t="s">
        <v>72</v>
      </c>
      <c r="T414" s="113" t="s">
        <v>134</v>
      </c>
      <c r="U414" s="132"/>
      <c r="V414" s="114" t="s">
        <v>74</v>
      </c>
      <c r="W414" s="127"/>
      <c r="X414" s="109"/>
      <c r="Y414" s="120"/>
      <c r="Z414" s="124"/>
      <c r="AA414" s="139"/>
    </row>
    <row r="415" spans="1:27" ht="15.75" thickBot="1" x14ac:dyDescent="0.3">
      <c r="A415" s="31">
        <v>321</v>
      </c>
      <c r="B415" s="193"/>
      <c r="C415" s="190"/>
      <c r="D415" s="107"/>
      <c r="E415" s="209"/>
      <c r="F415" s="92"/>
      <c r="G415" s="373"/>
      <c r="H415" s="374"/>
      <c r="I415" s="374"/>
      <c r="J415" s="108"/>
      <c r="K415" s="109"/>
      <c r="L415" s="120"/>
      <c r="M415" s="136"/>
      <c r="N415" s="124"/>
      <c r="O415" s="209"/>
      <c r="P415" s="379"/>
      <c r="Q415" s="380"/>
      <c r="R415" s="202"/>
      <c r="S415" s="113" t="s">
        <v>72</v>
      </c>
      <c r="T415" s="113" t="s">
        <v>134</v>
      </c>
      <c r="U415" s="132"/>
      <c r="V415" s="114" t="s">
        <v>74</v>
      </c>
      <c r="W415" s="127"/>
      <c r="X415" s="109"/>
      <c r="Y415" s="120"/>
      <c r="Z415" s="124"/>
      <c r="AA415" s="139"/>
    </row>
    <row r="416" spans="1:27" ht="15.75" thickBot="1" x14ac:dyDescent="0.3">
      <c r="A416" s="31">
        <v>322</v>
      </c>
      <c r="B416" s="193"/>
      <c r="C416" s="190"/>
      <c r="D416" s="107"/>
      <c r="E416" s="209"/>
      <c r="F416" s="92"/>
      <c r="G416" s="373"/>
      <c r="H416" s="374"/>
      <c r="I416" s="374"/>
      <c r="J416" s="108"/>
      <c r="K416" s="109"/>
      <c r="L416" s="120"/>
      <c r="M416" s="136"/>
      <c r="N416" s="124"/>
      <c r="O416" s="209"/>
      <c r="P416" s="379"/>
      <c r="Q416" s="380"/>
      <c r="R416" s="202"/>
      <c r="S416" s="113" t="s">
        <v>72</v>
      </c>
      <c r="T416" s="113" t="s">
        <v>134</v>
      </c>
      <c r="U416" s="132"/>
      <c r="V416" s="114" t="s">
        <v>74</v>
      </c>
      <c r="W416" s="127"/>
      <c r="X416" s="109"/>
      <c r="Y416" s="120"/>
      <c r="Z416" s="124"/>
      <c r="AA416" s="139"/>
    </row>
    <row r="417" spans="1:27" ht="15.75" thickBot="1" x14ac:dyDescent="0.3">
      <c r="A417" s="31">
        <v>323</v>
      </c>
      <c r="B417" s="193"/>
      <c r="C417" s="190"/>
      <c r="D417" s="107"/>
      <c r="E417" s="209"/>
      <c r="F417" s="92"/>
      <c r="G417" s="373"/>
      <c r="H417" s="374"/>
      <c r="I417" s="374"/>
      <c r="J417" s="108"/>
      <c r="K417" s="109"/>
      <c r="L417" s="120"/>
      <c r="M417" s="136"/>
      <c r="N417" s="124"/>
      <c r="O417" s="209"/>
      <c r="P417" s="379"/>
      <c r="Q417" s="380"/>
      <c r="R417" s="202"/>
      <c r="S417" s="113" t="s">
        <v>72</v>
      </c>
      <c r="T417" s="113" t="s">
        <v>134</v>
      </c>
      <c r="U417" s="132"/>
      <c r="V417" s="114" t="s">
        <v>74</v>
      </c>
      <c r="W417" s="127"/>
      <c r="X417" s="109"/>
      <c r="Y417" s="120"/>
      <c r="Z417" s="124"/>
      <c r="AA417" s="139"/>
    </row>
    <row r="418" spans="1:27" ht="15.75" thickBot="1" x14ac:dyDescent="0.3">
      <c r="A418" s="31">
        <v>324</v>
      </c>
      <c r="B418" s="193"/>
      <c r="C418" s="190"/>
      <c r="D418" s="107"/>
      <c r="E418" s="209"/>
      <c r="F418" s="92"/>
      <c r="G418" s="373"/>
      <c r="H418" s="374"/>
      <c r="I418" s="374"/>
      <c r="J418" s="108"/>
      <c r="K418" s="109"/>
      <c r="L418" s="120"/>
      <c r="M418" s="136"/>
      <c r="N418" s="124"/>
      <c r="O418" s="209"/>
      <c r="P418" s="379"/>
      <c r="Q418" s="380"/>
      <c r="R418" s="202"/>
      <c r="S418" s="113" t="s">
        <v>72</v>
      </c>
      <c r="T418" s="113" t="s">
        <v>134</v>
      </c>
      <c r="U418" s="132"/>
      <c r="V418" s="114" t="s">
        <v>74</v>
      </c>
      <c r="W418" s="127"/>
      <c r="X418" s="109"/>
      <c r="Y418" s="120"/>
      <c r="Z418" s="124"/>
      <c r="AA418" s="139"/>
    </row>
    <row r="419" spans="1:27" ht="15.75" thickBot="1" x14ac:dyDescent="0.3">
      <c r="A419" s="31">
        <v>325</v>
      </c>
      <c r="B419" s="193"/>
      <c r="C419" s="190"/>
      <c r="D419" s="107"/>
      <c r="E419" s="209"/>
      <c r="F419" s="92"/>
      <c r="G419" s="373"/>
      <c r="H419" s="374"/>
      <c r="I419" s="374"/>
      <c r="J419" s="108"/>
      <c r="K419" s="109"/>
      <c r="L419" s="120"/>
      <c r="M419" s="136"/>
      <c r="N419" s="124"/>
      <c r="O419" s="209"/>
      <c r="P419" s="379"/>
      <c r="Q419" s="380"/>
      <c r="R419" s="202"/>
      <c r="S419" s="113" t="s">
        <v>72</v>
      </c>
      <c r="T419" s="113" t="s">
        <v>134</v>
      </c>
      <c r="U419" s="132"/>
      <c r="V419" s="114" t="s">
        <v>74</v>
      </c>
      <c r="W419" s="127"/>
      <c r="X419" s="109"/>
      <c r="Y419" s="120"/>
      <c r="Z419" s="124"/>
      <c r="AA419" s="139"/>
    </row>
    <row r="420" spans="1:27" ht="15.75" thickBot="1" x14ac:dyDescent="0.3">
      <c r="A420" s="31">
        <v>326</v>
      </c>
      <c r="B420" s="193"/>
      <c r="C420" s="190"/>
      <c r="D420" s="107"/>
      <c r="E420" s="209"/>
      <c r="F420" s="92"/>
      <c r="G420" s="373"/>
      <c r="H420" s="374"/>
      <c r="I420" s="374"/>
      <c r="J420" s="108"/>
      <c r="K420" s="109"/>
      <c r="L420" s="120"/>
      <c r="M420" s="136"/>
      <c r="N420" s="124"/>
      <c r="O420" s="209"/>
      <c r="P420" s="379"/>
      <c r="Q420" s="380"/>
      <c r="R420" s="202"/>
      <c r="S420" s="113" t="s">
        <v>72</v>
      </c>
      <c r="T420" s="113" t="s">
        <v>134</v>
      </c>
      <c r="U420" s="132"/>
      <c r="V420" s="114" t="s">
        <v>74</v>
      </c>
      <c r="W420" s="127"/>
      <c r="X420" s="109"/>
      <c r="Y420" s="120"/>
      <c r="Z420" s="124"/>
      <c r="AA420" s="139"/>
    </row>
    <row r="421" spans="1:27" ht="15.75" thickBot="1" x14ac:dyDescent="0.3">
      <c r="A421" s="31">
        <v>327</v>
      </c>
      <c r="B421" s="193"/>
      <c r="C421" s="190"/>
      <c r="D421" s="107"/>
      <c r="E421" s="209"/>
      <c r="F421" s="92"/>
      <c r="G421" s="373"/>
      <c r="H421" s="374"/>
      <c r="I421" s="374"/>
      <c r="J421" s="108"/>
      <c r="K421" s="109"/>
      <c r="L421" s="120"/>
      <c r="M421" s="136"/>
      <c r="N421" s="124"/>
      <c r="O421" s="209"/>
      <c r="P421" s="379"/>
      <c r="Q421" s="380"/>
      <c r="R421" s="202"/>
      <c r="S421" s="113" t="s">
        <v>72</v>
      </c>
      <c r="T421" s="113" t="s">
        <v>134</v>
      </c>
      <c r="U421" s="132"/>
      <c r="V421" s="114" t="s">
        <v>74</v>
      </c>
      <c r="W421" s="127"/>
      <c r="X421" s="109"/>
      <c r="Y421" s="120"/>
      <c r="Z421" s="124"/>
      <c r="AA421" s="139"/>
    </row>
    <row r="422" spans="1:27" ht="15.75" thickBot="1" x14ac:dyDescent="0.3">
      <c r="A422" s="31">
        <v>328</v>
      </c>
      <c r="B422" s="193"/>
      <c r="C422" s="190"/>
      <c r="D422" s="107"/>
      <c r="E422" s="209"/>
      <c r="F422" s="92"/>
      <c r="G422" s="373"/>
      <c r="H422" s="374"/>
      <c r="I422" s="374"/>
      <c r="J422" s="108"/>
      <c r="K422" s="109"/>
      <c r="L422" s="120"/>
      <c r="M422" s="136"/>
      <c r="N422" s="124"/>
      <c r="O422" s="209"/>
      <c r="P422" s="379"/>
      <c r="Q422" s="380"/>
      <c r="R422" s="202"/>
      <c r="S422" s="113" t="s">
        <v>72</v>
      </c>
      <c r="T422" s="113" t="s">
        <v>134</v>
      </c>
      <c r="U422" s="132"/>
      <c r="V422" s="114" t="s">
        <v>74</v>
      </c>
      <c r="W422" s="127"/>
      <c r="X422" s="109"/>
      <c r="Y422" s="120"/>
      <c r="Z422" s="124"/>
      <c r="AA422" s="139"/>
    </row>
    <row r="423" spans="1:27" ht="15.75" thickBot="1" x14ac:dyDescent="0.3">
      <c r="A423" s="31">
        <v>329</v>
      </c>
      <c r="B423" s="193"/>
      <c r="C423" s="190"/>
      <c r="D423" s="107"/>
      <c r="E423" s="209"/>
      <c r="F423" s="92"/>
      <c r="G423" s="373"/>
      <c r="H423" s="374"/>
      <c r="I423" s="374"/>
      <c r="J423" s="108"/>
      <c r="K423" s="109"/>
      <c r="L423" s="120"/>
      <c r="M423" s="136"/>
      <c r="N423" s="124"/>
      <c r="O423" s="209"/>
      <c r="P423" s="379"/>
      <c r="Q423" s="380"/>
      <c r="R423" s="202"/>
      <c r="S423" s="113" t="s">
        <v>72</v>
      </c>
      <c r="T423" s="113" t="s">
        <v>134</v>
      </c>
      <c r="U423" s="132"/>
      <c r="V423" s="114" t="s">
        <v>74</v>
      </c>
      <c r="W423" s="127"/>
      <c r="X423" s="109"/>
      <c r="Y423" s="120"/>
      <c r="Z423" s="124"/>
      <c r="AA423" s="139"/>
    </row>
    <row r="424" spans="1:27" ht="15.75" thickBot="1" x14ac:dyDescent="0.3">
      <c r="A424" s="31">
        <v>330</v>
      </c>
      <c r="B424" s="193"/>
      <c r="C424" s="190"/>
      <c r="D424" s="107"/>
      <c r="E424" s="209"/>
      <c r="F424" s="92"/>
      <c r="G424" s="373"/>
      <c r="H424" s="374"/>
      <c r="I424" s="374"/>
      <c r="J424" s="108"/>
      <c r="K424" s="109"/>
      <c r="L424" s="120"/>
      <c r="M424" s="136"/>
      <c r="N424" s="124"/>
      <c r="O424" s="209"/>
      <c r="P424" s="379"/>
      <c r="Q424" s="380"/>
      <c r="R424" s="202"/>
      <c r="S424" s="113" t="s">
        <v>72</v>
      </c>
      <c r="T424" s="113" t="s">
        <v>134</v>
      </c>
      <c r="U424" s="132"/>
      <c r="V424" s="114" t="s">
        <v>74</v>
      </c>
      <c r="W424" s="127"/>
      <c r="X424" s="109"/>
      <c r="Y424" s="120"/>
      <c r="Z424" s="124"/>
      <c r="AA424" s="139"/>
    </row>
    <row r="425" spans="1:27" ht="15.75" thickBot="1" x14ac:dyDescent="0.3">
      <c r="A425" s="31">
        <v>331</v>
      </c>
      <c r="B425" s="193"/>
      <c r="C425" s="190"/>
      <c r="D425" s="107"/>
      <c r="E425" s="209"/>
      <c r="F425" s="92"/>
      <c r="G425" s="373"/>
      <c r="H425" s="374"/>
      <c r="I425" s="374"/>
      <c r="J425" s="108"/>
      <c r="K425" s="109"/>
      <c r="L425" s="120"/>
      <c r="M425" s="136"/>
      <c r="N425" s="124"/>
      <c r="O425" s="209"/>
      <c r="P425" s="379"/>
      <c r="Q425" s="380"/>
      <c r="R425" s="202"/>
      <c r="S425" s="113" t="s">
        <v>72</v>
      </c>
      <c r="T425" s="113" t="s">
        <v>134</v>
      </c>
      <c r="U425" s="132"/>
      <c r="V425" s="114" t="s">
        <v>74</v>
      </c>
      <c r="W425" s="127"/>
      <c r="X425" s="109"/>
      <c r="Y425" s="120"/>
      <c r="Z425" s="124"/>
      <c r="AA425" s="139"/>
    </row>
    <row r="426" spans="1:27" ht="15.75" thickBot="1" x14ac:dyDescent="0.3">
      <c r="A426" s="31">
        <v>332</v>
      </c>
      <c r="B426" s="193"/>
      <c r="C426" s="190"/>
      <c r="D426" s="107"/>
      <c r="E426" s="209"/>
      <c r="F426" s="92"/>
      <c r="G426" s="373"/>
      <c r="H426" s="374"/>
      <c r="I426" s="374"/>
      <c r="J426" s="108"/>
      <c r="K426" s="109"/>
      <c r="L426" s="120"/>
      <c r="M426" s="136"/>
      <c r="N426" s="124"/>
      <c r="O426" s="209"/>
      <c r="P426" s="379"/>
      <c r="Q426" s="380"/>
      <c r="R426" s="202"/>
      <c r="S426" s="113" t="s">
        <v>72</v>
      </c>
      <c r="T426" s="113" t="s">
        <v>134</v>
      </c>
      <c r="U426" s="132"/>
      <c r="V426" s="114" t="s">
        <v>74</v>
      </c>
      <c r="W426" s="127"/>
      <c r="X426" s="109"/>
      <c r="Y426" s="120"/>
      <c r="Z426" s="124"/>
      <c r="AA426" s="139"/>
    </row>
    <row r="427" spans="1:27" ht="15.75" thickBot="1" x14ac:dyDescent="0.3">
      <c r="A427" s="31">
        <v>333</v>
      </c>
      <c r="B427" s="193"/>
      <c r="C427" s="190"/>
      <c r="D427" s="107"/>
      <c r="E427" s="209"/>
      <c r="F427" s="92"/>
      <c r="G427" s="373"/>
      <c r="H427" s="374"/>
      <c r="I427" s="374"/>
      <c r="J427" s="108"/>
      <c r="K427" s="109"/>
      <c r="L427" s="120"/>
      <c r="M427" s="136"/>
      <c r="N427" s="124"/>
      <c r="O427" s="209"/>
      <c r="P427" s="379"/>
      <c r="Q427" s="380"/>
      <c r="R427" s="202"/>
      <c r="S427" s="113" t="s">
        <v>72</v>
      </c>
      <c r="T427" s="113" t="s">
        <v>134</v>
      </c>
      <c r="U427" s="132"/>
      <c r="V427" s="114" t="s">
        <v>74</v>
      </c>
      <c r="W427" s="127"/>
      <c r="X427" s="109"/>
      <c r="Y427" s="120"/>
      <c r="Z427" s="124"/>
      <c r="AA427" s="139"/>
    </row>
    <row r="428" spans="1:27" ht="15.75" thickBot="1" x14ac:dyDescent="0.3">
      <c r="A428" s="31">
        <v>334</v>
      </c>
      <c r="B428" s="193"/>
      <c r="C428" s="190"/>
      <c r="D428" s="107"/>
      <c r="E428" s="209"/>
      <c r="F428" s="92"/>
      <c r="G428" s="373"/>
      <c r="H428" s="374"/>
      <c r="I428" s="374"/>
      <c r="J428" s="108"/>
      <c r="K428" s="109"/>
      <c r="L428" s="120"/>
      <c r="M428" s="136"/>
      <c r="N428" s="124"/>
      <c r="O428" s="209"/>
      <c r="P428" s="379"/>
      <c r="Q428" s="380"/>
      <c r="R428" s="202"/>
      <c r="S428" s="113" t="s">
        <v>72</v>
      </c>
      <c r="T428" s="113" t="s">
        <v>134</v>
      </c>
      <c r="U428" s="132"/>
      <c r="V428" s="114" t="s">
        <v>74</v>
      </c>
      <c r="W428" s="127"/>
      <c r="X428" s="109"/>
      <c r="Y428" s="120"/>
      <c r="Z428" s="124"/>
      <c r="AA428" s="139"/>
    </row>
    <row r="429" spans="1:27" ht="15.75" thickBot="1" x14ac:dyDescent="0.3">
      <c r="A429" s="31">
        <v>335</v>
      </c>
      <c r="B429" s="193"/>
      <c r="C429" s="190"/>
      <c r="D429" s="107"/>
      <c r="E429" s="209"/>
      <c r="F429" s="92"/>
      <c r="G429" s="373"/>
      <c r="H429" s="374"/>
      <c r="I429" s="374"/>
      <c r="J429" s="108"/>
      <c r="K429" s="109"/>
      <c r="L429" s="120"/>
      <c r="M429" s="136"/>
      <c r="N429" s="124"/>
      <c r="O429" s="209"/>
      <c r="P429" s="379"/>
      <c r="Q429" s="380"/>
      <c r="R429" s="202"/>
      <c r="S429" s="113" t="s">
        <v>72</v>
      </c>
      <c r="T429" s="113" t="s">
        <v>134</v>
      </c>
      <c r="U429" s="132"/>
      <c r="V429" s="114" t="s">
        <v>74</v>
      </c>
      <c r="W429" s="127"/>
      <c r="X429" s="109"/>
      <c r="Y429" s="120"/>
      <c r="Z429" s="124"/>
      <c r="AA429" s="139"/>
    </row>
    <row r="430" spans="1:27" ht="15.75" thickBot="1" x14ac:dyDescent="0.3">
      <c r="A430" s="31">
        <v>336</v>
      </c>
      <c r="B430" s="193"/>
      <c r="C430" s="190"/>
      <c r="D430" s="107"/>
      <c r="E430" s="209"/>
      <c r="F430" s="92"/>
      <c r="G430" s="373"/>
      <c r="H430" s="374"/>
      <c r="I430" s="374"/>
      <c r="J430" s="108"/>
      <c r="K430" s="109"/>
      <c r="L430" s="120"/>
      <c r="M430" s="136"/>
      <c r="N430" s="124"/>
      <c r="O430" s="209"/>
      <c r="P430" s="379"/>
      <c r="Q430" s="380"/>
      <c r="R430" s="202"/>
      <c r="S430" s="113" t="s">
        <v>72</v>
      </c>
      <c r="T430" s="113" t="s">
        <v>134</v>
      </c>
      <c r="U430" s="132"/>
      <c r="V430" s="114" t="s">
        <v>74</v>
      </c>
      <c r="W430" s="127"/>
      <c r="X430" s="109"/>
      <c r="Y430" s="120"/>
      <c r="Z430" s="124"/>
      <c r="AA430" s="139"/>
    </row>
    <row r="431" spans="1:27" ht="15.75" thickBot="1" x14ac:dyDescent="0.3">
      <c r="A431" s="31">
        <v>337</v>
      </c>
      <c r="B431" s="193"/>
      <c r="C431" s="190"/>
      <c r="D431" s="107"/>
      <c r="E431" s="209"/>
      <c r="F431" s="92"/>
      <c r="G431" s="373"/>
      <c r="H431" s="374"/>
      <c r="I431" s="374"/>
      <c r="J431" s="108"/>
      <c r="K431" s="109"/>
      <c r="L431" s="120"/>
      <c r="M431" s="136"/>
      <c r="N431" s="124"/>
      <c r="O431" s="209"/>
      <c r="P431" s="379"/>
      <c r="Q431" s="380"/>
      <c r="R431" s="202"/>
      <c r="S431" s="113" t="s">
        <v>72</v>
      </c>
      <c r="T431" s="113" t="s">
        <v>134</v>
      </c>
      <c r="U431" s="132"/>
      <c r="V431" s="114" t="s">
        <v>74</v>
      </c>
      <c r="W431" s="127"/>
      <c r="X431" s="109"/>
      <c r="Y431" s="120"/>
      <c r="Z431" s="124"/>
      <c r="AA431" s="139"/>
    </row>
    <row r="432" spans="1:27" ht="15.75" thickBot="1" x14ac:dyDescent="0.3">
      <c r="A432" s="31">
        <v>338</v>
      </c>
      <c r="B432" s="193"/>
      <c r="C432" s="190"/>
      <c r="D432" s="107"/>
      <c r="E432" s="209"/>
      <c r="F432" s="92"/>
      <c r="G432" s="373"/>
      <c r="H432" s="374"/>
      <c r="I432" s="374"/>
      <c r="J432" s="108"/>
      <c r="K432" s="109"/>
      <c r="L432" s="120"/>
      <c r="M432" s="136"/>
      <c r="N432" s="124"/>
      <c r="O432" s="209"/>
      <c r="P432" s="379"/>
      <c r="Q432" s="380"/>
      <c r="R432" s="202"/>
      <c r="S432" s="113" t="s">
        <v>72</v>
      </c>
      <c r="T432" s="113" t="s">
        <v>134</v>
      </c>
      <c r="U432" s="132"/>
      <c r="V432" s="114" t="s">
        <v>74</v>
      </c>
      <c r="W432" s="127"/>
      <c r="X432" s="109"/>
      <c r="Y432" s="120"/>
      <c r="Z432" s="124"/>
      <c r="AA432" s="139"/>
    </row>
    <row r="433" spans="1:27" ht="15.75" thickBot="1" x14ac:dyDescent="0.3">
      <c r="A433" s="31">
        <v>339</v>
      </c>
      <c r="B433" s="193"/>
      <c r="C433" s="190"/>
      <c r="D433" s="107"/>
      <c r="E433" s="209"/>
      <c r="F433" s="92"/>
      <c r="G433" s="373"/>
      <c r="H433" s="374"/>
      <c r="I433" s="374"/>
      <c r="J433" s="108"/>
      <c r="K433" s="109"/>
      <c r="L433" s="120"/>
      <c r="M433" s="136"/>
      <c r="N433" s="124"/>
      <c r="O433" s="209"/>
      <c r="P433" s="379"/>
      <c r="Q433" s="380"/>
      <c r="R433" s="202"/>
      <c r="S433" s="113" t="s">
        <v>72</v>
      </c>
      <c r="T433" s="113" t="s">
        <v>134</v>
      </c>
      <c r="U433" s="132"/>
      <c r="V433" s="114" t="s">
        <v>74</v>
      </c>
      <c r="W433" s="127"/>
      <c r="X433" s="109"/>
      <c r="Y433" s="120"/>
      <c r="Z433" s="124"/>
      <c r="AA433" s="139"/>
    </row>
    <row r="434" spans="1:27" ht="15.75" thickBot="1" x14ac:dyDescent="0.3">
      <c r="A434" s="31">
        <v>340</v>
      </c>
      <c r="B434" s="193"/>
      <c r="C434" s="190"/>
      <c r="D434" s="107"/>
      <c r="E434" s="209"/>
      <c r="F434" s="92"/>
      <c r="G434" s="373"/>
      <c r="H434" s="374"/>
      <c r="I434" s="374"/>
      <c r="J434" s="108"/>
      <c r="K434" s="109"/>
      <c r="L434" s="120"/>
      <c r="M434" s="136"/>
      <c r="N434" s="124"/>
      <c r="O434" s="209"/>
      <c r="P434" s="379"/>
      <c r="Q434" s="380"/>
      <c r="R434" s="202"/>
      <c r="S434" s="113" t="s">
        <v>72</v>
      </c>
      <c r="T434" s="113" t="s">
        <v>134</v>
      </c>
      <c r="U434" s="132"/>
      <c r="V434" s="114" t="s">
        <v>74</v>
      </c>
      <c r="W434" s="127"/>
      <c r="X434" s="109"/>
      <c r="Y434" s="120"/>
      <c r="Z434" s="124"/>
      <c r="AA434" s="139"/>
    </row>
    <row r="435" spans="1:27" ht="15.75" thickBot="1" x14ac:dyDescent="0.3">
      <c r="A435" s="31">
        <v>341</v>
      </c>
      <c r="B435" s="193"/>
      <c r="C435" s="190"/>
      <c r="D435" s="107"/>
      <c r="E435" s="209"/>
      <c r="F435" s="92"/>
      <c r="G435" s="373"/>
      <c r="H435" s="374"/>
      <c r="I435" s="374"/>
      <c r="J435" s="108"/>
      <c r="K435" s="109"/>
      <c r="L435" s="120"/>
      <c r="M435" s="136"/>
      <c r="N435" s="124"/>
      <c r="O435" s="209"/>
      <c r="P435" s="379"/>
      <c r="Q435" s="380"/>
      <c r="R435" s="202"/>
      <c r="S435" s="113" t="s">
        <v>72</v>
      </c>
      <c r="T435" s="113" t="s">
        <v>134</v>
      </c>
      <c r="U435" s="132"/>
      <c r="V435" s="114" t="s">
        <v>74</v>
      </c>
      <c r="W435" s="127"/>
      <c r="X435" s="109"/>
      <c r="Y435" s="120"/>
      <c r="Z435" s="124"/>
      <c r="AA435" s="139"/>
    </row>
    <row r="436" spans="1:27" ht="15.75" thickBot="1" x14ac:dyDescent="0.3">
      <c r="A436" s="31">
        <v>342</v>
      </c>
      <c r="B436" s="193"/>
      <c r="C436" s="190"/>
      <c r="D436" s="107"/>
      <c r="E436" s="209"/>
      <c r="F436" s="92"/>
      <c r="G436" s="373"/>
      <c r="H436" s="374"/>
      <c r="I436" s="374"/>
      <c r="J436" s="108"/>
      <c r="K436" s="109"/>
      <c r="L436" s="120"/>
      <c r="M436" s="136"/>
      <c r="N436" s="124"/>
      <c r="O436" s="209"/>
      <c r="P436" s="379"/>
      <c r="Q436" s="380"/>
      <c r="R436" s="202"/>
      <c r="S436" s="113" t="s">
        <v>72</v>
      </c>
      <c r="T436" s="113" t="s">
        <v>134</v>
      </c>
      <c r="U436" s="132"/>
      <c r="V436" s="114" t="s">
        <v>74</v>
      </c>
      <c r="W436" s="127"/>
      <c r="X436" s="109"/>
      <c r="Y436" s="120"/>
      <c r="Z436" s="124"/>
      <c r="AA436" s="139"/>
    </row>
    <row r="437" spans="1:27" ht="15.75" thickBot="1" x14ac:dyDescent="0.3">
      <c r="A437" s="31">
        <v>343</v>
      </c>
      <c r="B437" s="193"/>
      <c r="C437" s="190"/>
      <c r="D437" s="107"/>
      <c r="E437" s="209"/>
      <c r="F437" s="92"/>
      <c r="G437" s="373"/>
      <c r="H437" s="374"/>
      <c r="I437" s="374"/>
      <c r="J437" s="108"/>
      <c r="K437" s="109"/>
      <c r="L437" s="120"/>
      <c r="M437" s="136"/>
      <c r="N437" s="124"/>
      <c r="O437" s="209"/>
      <c r="P437" s="379"/>
      <c r="Q437" s="380"/>
      <c r="R437" s="202"/>
      <c r="S437" s="113" t="s">
        <v>72</v>
      </c>
      <c r="T437" s="113" t="s">
        <v>134</v>
      </c>
      <c r="U437" s="132"/>
      <c r="V437" s="114" t="s">
        <v>74</v>
      </c>
      <c r="W437" s="127"/>
      <c r="X437" s="109"/>
      <c r="Y437" s="120"/>
      <c r="Z437" s="124"/>
      <c r="AA437" s="139"/>
    </row>
    <row r="438" spans="1:27" ht="15.75" thickBot="1" x14ac:dyDescent="0.3">
      <c r="A438" s="31">
        <v>344</v>
      </c>
      <c r="B438" s="193"/>
      <c r="C438" s="190"/>
      <c r="D438" s="107"/>
      <c r="E438" s="209"/>
      <c r="F438" s="92"/>
      <c r="G438" s="373"/>
      <c r="H438" s="374"/>
      <c r="I438" s="374"/>
      <c r="J438" s="108"/>
      <c r="K438" s="109"/>
      <c r="L438" s="120"/>
      <c r="M438" s="136"/>
      <c r="N438" s="124"/>
      <c r="O438" s="209"/>
      <c r="P438" s="379"/>
      <c r="Q438" s="380"/>
      <c r="R438" s="202"/>
      <c r="S438" s="113" t="s">
        <v>72</v>
      </c>
      <c r="T438" s="113" t="s">
        <v>134</v>
      </c>
      <c r="U438" s="132"/>
      <c r="V438" s="114" t="s">
        <v>74</v>
      </c>
      <c r="W438" s="127"/>
      <c r="X438" s="109"/>
      <c r="Y438" s="120"/>
      <c r="Z438" s="124"/>
      <c r="AA438" s="139"/>
    </row>
    <row r="439" spans="1:27" ht="15.75" thickBot="1" x14ac:dyDescent="0.3">
      <c r="A439" s="31">
        <v>345</v>
      </c>
      <c r="B439" s="193"/>
      <c r="C439" s="190"/>
      <c r="D439" s="107"/>
      <c r="E439" s="209"/>
      <c r="F439" s="92"/>
      <c r="G439" s="373"/>
      <c r="H439" s="374"/>
      <c r="I439" s="374"/>
      <c r="J439" s="108"/>
      <c r="K439" s="109"/>
      <c r="L439" s="120"/>
      <c r="M439" s="136"/>
      <c r="N439" s="124"/>
      <c r="O439" s="209"/>
      <c r="P439" s="379"/>
      <c r="Q439" s="380"/>
      <c r="R439" s="202"/>
      <c r="S439" s="113" t="s">
        <v>72</v>
      </c>
      <c r="T439" s="113" t="s">
        <v>134</v>
      </c>
      <c r="U439" s="132"/>
      <c r="V439" s="114" t="s">
        <v>74</v>
      </c>
      <c r="W439" s="127"/>
      <c r="X439" s="109"/>
      <c r="Y439" s="120"/>
      <c r="Z439" s="124"/>
      <c r="AA439" s="139"/>
    </row>
    <row r="440" spans="1:27" ht="15.75" thickBot="1" x14ac:dyDescent="0.3">
      <c r="A440" s="31">
        <v>346</v>
      </c>
      <c r="B440" s="193"/>
      <c r="C440" s="190"/>
      <c r="D440" s="107"/>
      <c r="E440" s="209"/>
      <c r="F440" s="92"/>
      <c r="G440" s="373"/>
      <c r="H440" s="374"/>
      <c r="I440" s="374"/>
      <c r="J440" s="108"/>
      <c r="K440" s="109"/>
      <c r="L440" s="120"/>
      <c r="M440" s="136"/>
      <c r="N440" s="124"/>
      <c r="O440" s="209"/>
      <c r="P440" s="379"/>
      <c r="Q440" s="380"/>
      <c r="R440" s="202"/>
      <c r="S440" s="113" t="s">
        <v>72</v>
      </c>
      <c r="T440" s="113" t="s">
        <v>134</v>
      </c>
      <c r="U440" s="132"/>
      <c r="V440" s="114" t="s">
        <v>74</v>
      </c>
      <c r="W440" s="127"/>
      <c r="X440" s="109"/>
      <c r="Y440" s="120"/>
      <c r="Z440" s="124"/>
      <c r="AA440" s="139"/>
    </row>
    <row r="441" spans="1:27" ht="15.75" thickBot="1" x14ac:dyDescent="0.3">
      <c r="A441" s="31">
        <v>347</v>
      </c>
      <c r="B441" s="193"/>
      <c r="C441" s="190"/>
      <c r="D441" s="107"/>
      <c r="E441" s="209"/>
      <c r="F441" s="92"/>
      <c r="G441" s="373"/>
      <c r="H441" s="374"/>
      <c r="I441" s="374"/>
      <c r="J441" s="108"/>
      <c r="K441" s="109"/>
      <c r="L441" s="120"/>
      <c r="M441" s="136"/>
      <c r="N441" s="124"/>
      <c r="O441" s="209"/>
      <c r="P441" s="379"/>
      <c r="Q441" s="380"/>
      <c r="R441" s="202"/>
      <c r="S441" s="113" t="s">
        <v>72</v>
      </c>
      <c r="T441" s="113" t="s">
        <v>134</v>
      </c>
      <c r="U441" s="132"/>
      <c r="V441" s="114" t="s">
        <v>74</v>
      </c>
      <c r="W441" s="127"/>
      <c r="X441" s="109"/>
      <c r="Y441" s="120"/>
      <c r="Z441" s="124"/>
      <c r="AA441" s="139"/>
    </row>
    <row r="442" spans="1:27" ht="15.75" thickBot="1" x14ac:dyDescent="0.3">
      <c r="A442" s="31">
        <v>348</v>
      </c>
      <c r="B442" s="193"/>
      <c r="C442" s="190"/>
      <c r="D442" s="107"/>
      <c r="E442" s="209"/>
      <c r="F442" s="92"/>
      <c r="G442" s="373"/>
      <c r="H442" s="374"/>
      <c r="I442" s="374"/>
      <c r="J442" s="108"/>
      <c r="K442" s="109"/>
      <c r="L442" s="120"/>
      <c r="M442" s="136"/>
      <c r="N442" s="124"/>
      <c r="O442" s="209"/>
      <c r="P442" s="379"/>
      <c r="Q442" s="380"/>
      <c r="R442" s="202"/>
      <c r="S442" s="113" t="s">
        <v>72</v>
      </c>
      <c r="T442" s="113" t="s">
        <v>134</v>
      </c>
      <c r="U442" s="132"/>
      <c r="V442" s="114" t="s">
        <v>74</v>
      </c>
      <c r="W442" s="127"/>
      <c r="X442" s="109"/>
      <c r="Y442" s="120"/>
      <c r="Z442" s="124"/>
      <c r="AA442" s="139"/>
    </row>
    <row r="443" spans="1:27" ht="15.75" thickBot="1" x14ac:dyDescent="0.3">
      <c r="A443" s="31">
        <v>349</v>
      </c>
      <c r="B443" s="193"/>
      <c r="C443" s="190"/>
      <c r="D443" s="107"/>
      <c r="E443" s="209"/>
      <c r="F443" s="92"/>
      <c r="G443" s="373"/>
      <c r="H443" s="374"/>
      <c r="I443" s="374"/>
      <c r="J443" s="108"/>
      <c r="K443" s="109"/>
      <c r="L443" s="120"/>
      <c r="M443" s="136"/>
      <c r="N443" s="124"/>
      <c r="O443" s="209"/>
      <c r="P443" s="379"/>
      <c r="Q443" s="380"/>
      <c r="R443" s="202"/>
      <c r="S443" s="113" t="s">
        <v>72</v>
      </c>
      <c r="T443" s="113" t="s">
        <v>134</v>
      </c>
      <c r="U443" s="132"/>
      <c r="V443" s="114" t="s">
        <v>74</v>
      </c>
      <c r="W443" s="127"/>
      <c r="X443" s="109"/>
      <c r="Y443" s="120"/>
      <c r="Z443" s="124"/>
      <c r="AA443" s="139"/>
    </row>
    <row r="444" spans="1:27" ht="15.75" thickBot="1" x14ac:dyDescent="0.3">
      <c r="A444" s="31">
        <v>350</v>
      </c>
      <c r="B444" s="193"/>
      <c r="C444" s="190"/>
      <c r="D444" s="107"/>
      <c r="E444" s="209"/>
      <c r="F444" s="92"/>
      <c r="G444" s="373"/>
      <c r="H444" s="374"/>
      <c r="I444" s="374"/>
      <c r="J444" s="108"/>
      <c r="K444" s="109"/>
      <c r="L444" s="120"/>
      <c r="M444" s="136"/>
      <c r="N444" s="124"/>
      <c r="O444" s="209"/>
      <c r="P444" s="379"/>
      <c r="Q444" s="380"/>
      <c r="R444" s="202"/>
      <c r="S444" s="113" t="s">
        <v>72</v>
      </c>
      <c r="T444" s="113" t="s">
        <v>134</v>
      </c>
      <c r="U444" s="132"/>
      <c r="V444" s="114" t="s">
        <v>74</v>
      </c>
      <c r="W444" s="127"/>
      <c r="X444" s="109"/>
      <c r="Y444" s="120"/>
      <c r="Z444" s="124"/>
      <c r="AA444" s="139"/>
    </row>
    <row r="445" spans="1:27" ht="15.75" thickBot="1" x14ac:dyDescent="0.3">
      <c r="A445" s="31">
        <v>351</v>
      </c>
      <c r="B445" s="193"/>
      <c r="C445" s="190"/>
      <c r="D445" s="107"/>
      <c r="E445" s="209"/>
      <c r="F445" s="92"/>
      <c r="G445" s="373"/>
      <c r="H445" s="374"/>
      <c r="I445" s="374"/>
      <c r="J445" s="108"/>
      <c r="K445" s="109"/>
      <c r="L445" s="120"/>
      <c r="M445" s="136"/>
      <c r="N445" s="124"/>
      <c r="O445" s="209"/>
      <c r="P445" s="379"/>
      <c r="Q445" s="380"/>
      <c r="R445" s="202"/>
      <c r="S445" s="113" t="s">
        <v>72</v>
      </c>
      <c r="T445" s="113" t="s">
        <v>134</v>
      </c>
      <c r="U445" s="132"/>
      <c r="V445" s="114" t="s">
        <v>74</v>
      </c>
      <c r="W445" s="127"/>
      <c r="X445" s="109"/>
      <c r="Y445" s="120"/>
      <c r="Z445" s="124"/>
      <c r="AA445" s="139"/>
    </row>
    <row r="446" spans="1:27" ht="15.75" thickBot="1" x14ac:dyDescent="0.3">
      <c r="A446" s="31">
        <v>352</v>
      </c>
      <c r="B446" s="193"/>
      <c r="C446" s="190"/>
      <c r="D446" s="107"/>
      <c r="E446" s="209"/>
      <c r="F446" s="92"/>
      <c r="G446" s="373"/>
      <c r="H446" s="374"/>
      <c r="I446" s="374"/>
      <c r="J446" s="108"/>
      <c r="K446" s="109"/>
      <c r="L446" s="120"/>
      <c r="M446" s="136"/>
      <c r="N446" s="124"/>
      <c r="O446" s="209"/>
      <c r="P446" s="379"/>
      <c r="Q446" s="380"/>
      <c r="R446" s="202"/>
      <c r="S446" s="113" t="s">
        <v>72</v>
      </c>
      <c r="T446" s="113" t="s">
        <v>134</v>
      </c>
      <c r="U446" s="132"/>
      <c r="V446" s="114" t="s">
        <v>74</v>
      </c>
      <c r="W446" s="127"/>
      <c r="X446" s="109"/>
      <c r="Y446" s="120"/>
      <c r="Z446" s="124"/>
      <c r="AA446" s="139"/>
    </row>
    <row r="447" spans="1:27" ht="15.75" thickBot="1" x14ac:dyDescent="0.3">
      <c r="A447" s="31">
        <v>353</v>
      </c>
      <c r="B447" s="193"/>
      <c r="C447" s="190"/>
      <c r="D447" s="107"/>
      <c r="E447" s="209"/>
      <c r="F447" s="92"/>
      <c r="G447" s="373"/>
      <c r="H447" s="374"/>
      <c r="I447" s="374"/>
      <c r="J447" s="108"/>
      <c r="K447" s="109"/>
      <c r="L447" s="120"/>
      <c r="M447" s="136"/>
      <c r="N447" s="124"/>
      <c r="O447" s="209"/>
      <c r="P447" s="379"/>
      <c r="Q447" s="380"/>
      <c r="R447" s="202"/>
      <c r="S447" s="113" t="s">
        <v>72</v>
      </c>
      <c r="T447" s="113" t="s">
        <v>134</v>
      </c>
      <c r="U447" s="132"/>
      <c r="V447" s="114" t="s">
        <v>74</v>
      </c>
      <c r="W447" s="127"/>
      <c r="X447" s="109"/>
      <c r="Y447" s="120"/>
      <c r="Z447" s="124"/>
      <c r="AA447" s="139"/>
    </row>
    <row r="448" spans="1:27" ht="15.75" thickBot="1" x14ac:dyDescent="0.3">
      <c r="A448" s="31">
        <v>354</v>
      </c>
      <c r="B448" s="193"/>
      <c r="C448" s="190"/>
      <c r="D448" s="107"/>
      <c r="E448" s="209"/>
      <c r="F448" s="92"/>
      <c r="G448" s="373"/>
      <c r="H448" s="374"/>
      <c r="I448" s="374"/>
      <c r="J448" s="108"/>
      <c r="K448" s="109"/>
      <c r="L448" s="120"/>
      <c r="M448" s="136"/>
      <c r="N448" s="124"/>
      <c r="O448" s="209"/>
      <c r="P448" s="379"/>
      <c r="Q448" s="380"/>
      <c r="R448" s="202"/>
      <c r="S448" s="113" t="s">
        <v>72</v>
      </c>
      <c r="T448" s="113" t="s">
        <v>134</v>
      </c>
      <c r="U448" s="132"/>
      <c r="V448" s="114" t="s">
        <v>74</v>
      </c>
      <c r="W448" s="127"/>
      <c r="X448" s="109"/>
      <c r="Y448" s="120"/>
      <c r="Z448" s="124"/>
      <c r="AA448" s="139"/>
    </row>
    <row r="449" spans="1:27" ht="15.75" thickBot="1" x14ac:dyDescent="0.3">
      <c r="A449" s="31">
        <v>355</v>
      </c>
      <c r="B449" s="193"/>
      <c r="C449" s="190"/>
      <c r="D449" s="107"/>
      <c r="E449" s="209"/>
      <c r="F449" s="92"/>
      <c r="G449" s="373"/>
      <c r="H449" s="374"/>
      <c r="I449" s="374"/>
      <c r="J449" s="108"/>
      <c r="K449" s="109"/>
      <c r="L449" s="120"/>
      <c r="M449" s="136"/>
      <c r="N449" s="124"/>
      <c r="O449" s="209"/>
      <c r="P449" s="379"/>
      <c r="Q449" s="380"/>
      <c r="R449" s="202"/>
      <c r="S449" s="113" t="s">
        <v>72</v>
      </c>
      <c r="T449" s="113" t="s">
        <v>134</v>
      </c>
      <c r="U449" s="132"/>
      <c r="V449" s="114" t="s">
        <v>74</v>
      </c>
      <c r="W449" s="127"/>
      <c r="X449" s="109"/>
      <c r="Y449" s="120"/>
      <c r="Z449" s="124"/>
      <c r="AA449" s="139"/>
    </row>
    <row r="450" spans="1:27" ht="15.75" thickBot="1" x14ac:dyDescent="0.3">
      <c r="A450" s="31">
        <v>356</v>
      </c>
      <c r="B450" s="193"/>
      <c r="C450" s="190"/>
      <c r="D450" s="107"/>
      <c r="E450" s="209"/>
      <c r="F450" s="92"/>
      <c r="G450" s="373"/>
      <c r="H450" s="374"/>
      <c r="I450" s="374"/>
      <c r="J450" s="108"/>
      <c r="K450" s="109"/>
      <c r="L450" s="120"/>
      <c r="M450" s="136"/>
      <c r="N450" s="124"/>
      <c r="O450" s="209"/>
      <c r="P450" s="379"/>
      <c r="Q450" s="380"/>
      <c r="R450" s="202"/>
      <c r="S450" s="113" t="s">
        <v>72</v>
      </c>
      <c r="T450" s="113" t="s">
        <v>134</v>
      </c>
      <c r="U450" s="132"/>
      <c r="V450" s="114" t="s">
        <v>74</v>
      </c>
      <c r="W450" s="127"/>
      <c r="X450" s="109"/>
      <c r="Y450" s="120"/>
      <c r="Z450" s="124"/>
      <c r="AA450" s="139"/>
    </row>
    <row r="451" spans="1:27" ht="15.75" thickBot="1" x14ac:dyDescent="0.3">
      <c r="A451" s="31">
        <v>357</v>
      </c>
      <c r="B451" s="193"/>
      <c r="C451" s="190"/>
      <c r="D451" s="107"/>
      <c r="E451" s="209"/>
      <c r="F451" s="92"/>
      <c r="G451" s="373"/>
      <c r="H451" s="374"/>
      <c r="I451" s="374"/>
      <c r="J451" s="108"/>
      <c r="K451" s="109"/>
      <c r="L451" s="120"/>
      <c r="M451" s="136"/>
      <c r="N451" s="124"/>
      <c r="O451" s="209"/>
      <c r="P451" s="379"/>
      <c r="Q451" s="380"/>
      <c r="R451" s="202"/>
      <c r="S451" s="113" t="s">
        <v>72</v>
      </c>
      <c r="T451" s="113" t="s">
        <v>134</v>
      </c>
      <c r="U451" s="132"/>
      <c r="V451" s="114" t="s">
        <v>74</v>
      </c>
      <c r="W451" s="127"/>
      <c r="X451" s="109"/>
      <c r="Y451" s="120"/>
      <c r="Z451" s="124"/>
      <c r="AA451" s="139"/>
    </row>
    <row r="452" spans="1:27" ht="15.75" thickBot="1" x14ac:dyDescent="0.3">
      <c r="A452" s="31">
        <v>358</v>
      </c>
      <c r="B452" s="193"/>
      <c r="C452" s="190"/>
      <c r="D452" s="107"/>
      <c r="E452" s="209"/>
      <c r="F452" s="92"/>
      <c r="G452" s="373"/>
      <c r="H452" s="374"/>
      <c r="I452" s="374"/>
      <c r="J452" s="108"/>
      <c r="K452" s="109"/>
      <c r="L452" s="120"/>
      <c r="M452" s="136"/>
      <c r="N452" s="124"/>
      <c r="O452" s="209"/>
      <c r="P452" s="379"/>
      <c r="Q452" s="380"/>
      <c r="R452" s="202"/>
      <c r="S452" s="113" t="s">
        <v>72</v>
      </c>
      <c r="T452" s="113" t="s">
        <v>134</v>
      </c>
      <c r="U452" s="132"/>
      <c r="V452" s="114" t="s">
        <v>74</v>
      </c>
      <c r="W452" s="127"/>
      <c r="X452" s="109"/>
      <c r="Y452" s="120"/>
      <c r="Z452" s="124"/>
      <c r="AA452" s="139"/>
    </row>
    <row r="453" spans="1:27" ht="15.75" thickBot="1" x14ac:dyDescent="0.3">
      <c r="A453" s="31">
        <v>359</v>
      </c>
      <c r="B453" s="193"/>
      <c r="C453" s="190"/>
      <c r="D453" s="107"/>
      <c r="E453" s="209"/>
      <c r="F453" s="92"/>
      <c r="G453" s="373"/>
      <c r="H453" s="374"/>
      <c r="I453" s="374"/>
      <c r="J453" s="108"/>
      <c r="K453" s="109"/>
      <c r="L453" s="120"/>
      <c r="M453" s="136"/>
      <c r="N453" s="124"/>
      <c r="O453" s="209"/>
      <c r="P453" s="379"/>
      <c r="Q453" s="380"/>
      <c r="R453" s="202"/>
      <c r="S453" s="113" t="s">
        <v>72</v>
      </c>
      <c r="T453" s="113" t="s">
        <v>134</v>
      </c>
      <c r="U453" s="132"/>
      <c r="V453" s="114" t="s">
        <v>74</v>
      </c>
      <c r="W453" s="127"/>
      <c r="X453" s="109"/>
      <c r="Y453" s="120"/>
      <c r="Z453" s="124"/>
      <c r="AA453" s="139"/>
    </row>
    <row r="454" spans="1:27" ht="15.75" thickBot="1" x14ac:dyDescent="0.3">
      <c r="A454" s="31">
        <v>360</v>
      </c>
      <c r="B454" s="193"/>
      <c r="C454" s="190"/>
      <c r="D454" s="107"/>
      <c r="E454" s="209"/>
      <c r="F454" s="92"/>
      <c r="G454" s="373"/>
      <c r="H454" s="374"/>
      <c r="I454" s="374"/>
      <c r="J454" s="108"/>
      <c r="K454" s="109"/>
      <c r="L454" s="120"/>
      <c r="M454" s="136"/>
      <c r="N454" s="124"/>
      <c r="O454" s="209"/>
      <c r="P454" s="379"/>
      <c r="Q454" s="380"/>
      <c r="R454" s="202"/>
      <c r="S454" s="113" t="s">
        <v>72</v>
      </c>
      <c r="T454" s="113" t="s">
        <v>134</v>
      </c>
      <c r="U454" s="132"/>
      <c r="V454" s="114" t="s">
        <v>74</v>
      </c>
      <c r="W454" s="127"/>
      <c r="X454" s="109"/>
      <c r="Y454" s="120"/>
      <c r="Z454" s="124"/>
      <c r="AA454" s="139"/>
    </row>
    <row r="455" spans="1:27" ht="15.75" thickBot="1" x14ac:dyDescent="0.3">
      <c r="A455" s="31">
        <v>361</v>
      </c>
      <c r="B455" s="193"/>
      <c r="C455" s="190"/>
      <c r="D455" s="107"/>
      <c r="E455" s="209"/>
      <c r="F455" s="92"/>
      <c r="G455" s="373"/>
      <c r="H455" s="374"/>
      <c r="I455" s="374"/>
      <c r="J455" s="108"/>
      <c r="K455" s="109"/>
      <c r="L455" s="120"/>
      <c r="M455" s="136"/>
      <c r="N455" s="124"/>
      <c r="O455" s="209"/>
      <c r="P455" s="379"/>
      <c r="Q455" s="380"/>
      <c r="R455" s="202"/>
      <c r="S455" s="113" t="s">
        <v>72</v>
      </c>
      <c r="T455" s="113" t="s">
        <v>134</v>
      </c>
      <c r="U455" s="132"/>
      <c r="V455" s="114" t="s">
        <v>74</v>
      </c>
      <c r="W455" s="127"/>
      <c r="X455" s="109"/>
      <c r="Y455" s="120"/>
      <c r="Z455" s="124"/>
      <c r="AA455" s="139"/>
    </row>
    <row r="456" spans="1:27" ht="15.75" thickBot="1" x14ac:dyDescent="0.3">
      <c r="A456" s="31">
        <v>362</v>
      </c>
      <c r="B456" s="193"/>
      <c r="C456" s="190"/>
      <c r="D456" s="107"/>
      <c r="E456" s="209"/>
      <c r="F456" s="92"/>
      <c r="G456" s="373"/>
      <c r="H456" s="374"/>
      <c r="I456" s="374"/>
      <c r="J456" s="108"/>
      <c r="K456" s="109"/>
      <c r="L456" s="120"/>
      <c r="M456" s="136"/>
      <c r="N456" s="124"/>
      <c r="O456" s="209"/>
      <c r="P456" s="379"/>
      <c r="Q456" s="380"/>
      <c r="R456" s="202"/>
      <c r="S456" s="113" t="s">
        <v>72</v>
      </c>
      <c r="T456" s="113" t="s">
        <v>134</v>
      </c>
      <c r="U456" s="132"/>
      <c r="V456" s="114" t="s">
        <v>74</v>
      </c>
      <c r="W456" s="127"/>
      <c r="X456" s="109"/>
      <c r="Y456" s="120"/>
      <c r="Z456" s="124"/>
      <c r="AA456" s="139"/>
    </row>
    <row r="457" spans="1:27" ht="15.75" thickBot="1" x14ac:dyDescent="0.3">
      <c r="A457" s="31">
        <v>363</v>
      </c>
      <c r="B457" s="193"/>
      <c r="C457" s="190"/>
      <c r="D457" s="107"/>
      <c r="E457" s="209"/>
      <c r="F457" s="92"/>
      <c r="G457" s="373"/>
      <c r="H457" s="374"/>
      <c r="I457" s="374"/>
      <c r="J457" s="108"/>
      <c r="K457" s="109"/>
      <c r="L457" s="120"/>
      <c r="M457" s="136"/>
      <c r="N457" s="124"/>
      <c r="O457" s="209"/>
      <c r="P457" s="379"/>
      <c r="Q457" s="380"/>
      <c r="R457" s="202"/>
      <c r="S457" s="113" t="s">
        <v>72</v>
      </c>
      <c r="T457" s="113" t="s">
        <v>134</v>
      </c>
      <c r="U457" s="132"/>
      <c r="V457" s="114" t="s">
        <v>74</v>
      </c>
      <c r="W457" s="127"/>
      <c r="X457" s="109"/>
      <c r="Y457" s="120"/>
      <c r="Z457" s="124"/>
      <c r="AA457" s="139"/>
    </row>
    <row r="458" spans="1:27" ht="15.75" thickBot="1" x14ac:dyDescent="0.3">
      <c r="A458" s="31">
        <v>364</v>
      </c>
      <c r="B458" s="193"/>
      <c r="C458" s="190"/>
      <c r="D458" s="107"/>
      <c r="E458" s="209"/>
      <c r="F458" s="92"/>
      <c r="G458" s="373"/>
      <c r="H458" s="374"/>
      <c r="I458" s="374"/>
      <c r="J458" s="108"/>
      <c r="K458" s="109"/>
      <c r="L458" s="120"/>
      <c r="M458" s="136"/>
      <c r="N458" s="124"/>
      <c r="O458" s="209"/>
      <c r="P458" s="379"/>
      <c r="Q458" s="380"/>
      <c r="R458" s="202"/>
      <c r="S458" s="113" t="s">
        <v>72</v>
      </c>
      <c r="T458" s="113" t="s">
        <v>134</v>
      </c>
      <c r="U458" s="132"/>
      <c r="V458" s="114" t="s">
        <v>74</v>
      </c>
      <c r="W458" s="127"/>
      <c r="X458" s="109"/>
      <c r="Y458" s="120"/>
      <c r="Z458" s="124"/>
      <c r="AA458" s="139"/>
    </row>
    <row r="459" spans="1:27" ht="15.75" thickBot="1" x14ac:dyDescent="0.3">
      <c r="A459" s="31">
        <v>365</v>
      </c>
      <c r="B459" s="193"/>
      <c r="C459" s="190"/>
      <c r="D459" s="107"/>
      <c r="E459" s="209"/>
      <c r="F459" s="92"/>
      <c r="G459" s="373"/>
      <c r="H459" s="374"/>
      <c r="I459" s="374"/>
      <c r="J459" s="108"/>
      <c r="K459" s="109"/>
      <c r="L459" s="120"/>
      <c r="M459" s="136"/>
      <c r="N459" s="124"/>
      <c r="O459" s="209"/>
      <c r="P459" s="379"/>
      <c r="Q459" s="380"/>
      <c r="R459" s="202"/>
      <c r="S459" s="113" t="s">
        <v>72</v>
      </c>
      <c r="T459" s="113" t="s">
        <v>134</v>
      </c>
      <c r="U459" s="132"/>
      <c r="V459" s="114" t="s">
        <v>74</v>
      </c>
      <c r="W459" s="127"/>
      <c r="X459" s="109"/>
      <c r="Y459" s="120"/>
      <c r="Z459" s="124"/>
      <c r="AA459" s="139"/>
    </row>
    <row r="460" spans="1:27" ht="15.75" thickBot="1" x14ac:dyDescent="0.3">
      <c r="A460" s="31">
        <v>366</v>
      </c>
      <c r="B460" s="193"/>
      <c r="C460" s="190"/>
      <c r="D460" s="107"/>
      <c r="E460" s="209"/>
      <c r="F460" s="92"/>
      <c r="G460" s="373"/>
      <c r="H460" s="374"/>
      <c r="I460" s="374"/>
      <c r="J460" s="108"/>
      <c r="K460" s="109"/>
      <c r="L460" s="120"/>
      <c r="M460" s="136"/>
      <c r="N460" s="124"/>
      <c r="O460" s="209"/>
      <c r="P460" s="379"/>
      <c r="Q460" s="380"/>
      <c r="R460" s="202"/>
      <c r="S460" s="113" t="s">
        <v>72</v>
      </c>
      <c r="T460" s="113" t="s">
        <v>134</v>
      </c>
      <c r="U460" s="132"/>
      <c r="V460" s="114" t="s">
        <v>74</v>
      </c>
      <c r="W460" s="127"/>
      <c r="X460" s="109"/>
      <c r="Y460" s="120"/>
      <c r="Z460" s="124"/>
      <c r="AA460" s="139"/>
    </row>
    <row r="461" spans="1:27" ht="15.75" thickBot="1" x14ac:dyDescent="0.3">
      <c r="A461" s="31">
        <v>367</v>
      </c>
      <c r="B461" s="193"/>
      <c r="C461" s="190"/>
      <c r="D461" s="107"/>
      <c r="E461" s="209"/>
      <c r="F461" s="92"/>
      <c r="G461" s="373"/>
      <c r="H461" s="374"/>
      <c r="I461" s="374"/>
      <c r="J461" s="108"/>
      <c r="K461" s="109"/>
      <c r="L461" s="120"/>
      <c r="M461" s="136"/>
      <c r="N461" s="124"/>
      <c r="O461" s="209"/>
      <c r="P461" s="379"/>
      <c r="Q461" s="380"/>
      <c r="R461" s="202"/>
      <c r="S461" s="113" t="s">
        <v>72</v>
      </c>
      <c r="T461" s="113" t="s">
        <v>134</v>
      </c>
      <c r="U461" s="132"/>
      <c r="V461" s="114" t="s">
        <v>74</v>
      </c>
      <c r="W461" s="127"/>
      <c r="X461" s="109"/>
      <c r="Y461" s="120"/>
      <c r="Z461" s="124"/>
      <c r="AA461" s="139"/>
    </row>
    <row r="462" spans="1:27" ht="15.75" thickBot="1" x14ac:dyDescent="0.3">
      <c r="A462" s="31">
        <v>368</v>
      </c>
      <c r="B462" s="193"/>
      <c r="C462" s="190"/>
      <c r="D462" s="107"/>
      <c r="E462" s="209"/>
      <c r="F462" s="92"/>
      <c r="G462" s="373"/>
      <c r="H462" s="374"/>
      <c r="I462" s="374"/>
      <c r="J462" s="108"/>
      <c r="K462" s="109"/>
      <c r="L462" s="120"/>
      <c r="M462" s="136"/>
      <c r="N462" s="124"/>
      <c r="O462" s="209"/>
      <c r="P462" s="379"/>
      <c r="Q462" s="380"/>
      <c r="R462" s="202"/>
      <c r="S462" s="113" t="s">
        <v>72</v>
      </c>
      <c r="T462" s="113" t="s">
        <v>134</v>
      </c>
      <c r="U462" s="132"/>
      <c r="V462" s="114" t="s">
        <v>74</v>
      </c>
      <c r="W462" s="127"/>
      <c r="X462" s="109"/>
      <c r="Y462" s="120"/>
      <c r="Z462" s="124"/>
      <c r="AA462" s="139"/>
    </row>
    <row r="463" spans="1:27" ht="15.75" thickBot="1" x14ac:dyDescent="0.3">
      <c r="A463" s="31">
        <v>369</v>
      </c>
      <c r="B463" s="193"/>
      <c r="C463" s="190"/>
      <c r="D463" s="107"/>
      <c r="E463" s="209"/>
      <c r="F463" s="92"/>
      <c r="G463" s="373"/>
      <c r="H463" s="374"/>
      <c r="I463" s="374"/>
      <c r="J463" s="108"/>
      <c r="K463" s="109"/>
      <c r="L463" s="120"/>
      <c r="M463" s="136"/>
      <c r="N463" s="124"/>
      <c r="O463" s="209"/>
      <c r="P463" s="379"/>
      <c r="Q463" s="380"/>
      <c r="R463" s="202"/>
      <c r="S463" s="113" t="s">
        <v>72</v>
      </c>
      <c r="T463" s="113" t="s">
        <v>134</v>
      </c>
      <c r="U463" s="132"/>
      <c r="V463" s="114" t="s">
        <v>74</v>
      </c>
      <c r="W463" s="127"/>
      <c r="X463" s="109"/>
      <c r="Y463" s="120"/>
      <c r="Z463" s="124"/>
      <c r="AA463" s="139"/>
    </row>
    <row r="464" spans="1:27" ht="15.75" thickBot="1" x14ac:dyDescent="0.3">
      <c r="A464" s="31">
        <v>370</v>
      </c>
      <c r="B464" s="193"/>
      <c r="C464" s="190"/>
      <c r="D464" s="107"/>
      <c r="E464" s="209"/>
      <c r="F464" s="92"/>
      <c r="G464" s="373"/>
      <c r="H464" s="374"/>
      <c r="I464" s="374"/>
      <c r="J464" s="108"/>
      <c r="K464" s="109"/>
      <c r="L464" s="120"/>
      <c r="M464" s="136"/>
      <c r="N464" s="124"/>
      <c r="O464" s="209"/>
      <c r="P464" s="379"/>
      <c r="Q464" s="380"/>
      <c r="R464" s="202"/>
      <c r="S464" s="113" t="s">
        <v>72</v>
      </c>
      <c r="T464" s="113" t="s">
        <v>134</v>
      </c>
      <c r="U464" s="132"/>
      <c r="V464" s="114" t="s">
        <v>74</v>
      </c>
      <c r="W464" s="127"/>
      <c r="X464" s="109"/>
      <c r="Y464" s="120"/>
      <c r="Z464" s="124"/>
      <c r="AA464" s="139"/>
    </row>
    <row r="465" spans="1:27" ht="15.75" thickBot="1" x14ac:dyDescent="0.3">
      <c r="A465" s="31">
        <v>371</v>
      </c>
      <c r="B465" s="193"/>
      <c r="C465" s="190"/>
      <c r="D465" s="107"/>
      <c r="E465" s="209"/>
      <c r="F465" s="92"/>
      <c r="G465" s="373"/>
      <c r="H465" s="374"/>
      <c r="I465" s="374"/>
      <c r="J465" s="108"/>
      <c r="K465" s="109"/>
      <c r="L465" s="120"/>
      <c r="M465" s="136"/>
      <c r="N465" s="124"/>
      <c r="O465" s="209"/>
      <c r="P465" s="379"/>
      <c r="Q465" s="380"/>
      <c r="R465" s="202"/>
      <c r="S465" s="113" t="s">
        <v>72</v>
      </c>
      <c r="T465" s="113" t="s">
        <v>134</v>
      </c>
      <c r="U465" s="132"/>
      <c r="V465" s="114" t="s">
        <v>74</v>
      </c>
      <c r="W465" s="127"/>
      <c r="X465" s="109"/>
      <c r="Y465" s="120"/>
      <c r="Z465" s="124"/>
      <c r="AA465" s="139"/>
    </row>
    <row r="466" spans="1:27" ht="15.75" thickBot="1" x14ac:dyDescent="0.3">
      <c r="A466" s="31">
        <v>372</v>
      </c>
      <c r="B466" s="193"/>
      <c r="C466" s="190"/>
      <c r="D466" s="107"/>
      <c r="E466" s="209"/>
      <c r="F466" s="92"/>
      <c r="G466" s="373"/>
      <c r="H466" s="374"/>
      <c r="I466" s="374"/>
      <c r="J466" s="108"/>
      <c r="K466" s="109"/>
      <c r="L466" s="120"/>
      <c r="M466" s="136"/>
      <c r="N466" s="124"/>
      <c r="O466" s="209"/>
      <c r="P466" s="379"/>
      <c r="Q466" s="380"/>
      <c r="R466" s="202"/>
      <c r="S466" s="113" t="s">
        <v>72</v>
      </c>
      <c r="T466" s="113" t="s">
        <v>134</v>
      </c>
      <c r="U466" s="132"/>
      <c r="V466" s="114" t="s">
        <v>74</v>
      </c>
      <c r="W466" s="127"/>
      <c r="X466" s="109"/>
      <c r="Y466" s="120"/>
      <c r="Z466" s="124"/>
      <c r="AA466" s="139"/>
    </row>
    <row r="467" spans="1:27" ht="15.75" thickBot="1" x14ac:dyDescent="0.3">
      <c r="A467" s="31">
        <v>373</v>
      </c>
      <c r="B467" s="193"/>
      <c r="C467" s="190"/>
      <c r="D467" s="107"/>
      <c r="E467" s="209"/>
      <c r="F467" s="92"/>
      <c r="G467" s="373"/>
      <c r="H467" s="374"/>
      <c r="I467" s="374"/>
      <c r="J467" s="108"/>
      <c r="K467" s="109"/>
      <c r="L467" s="120"/>
      <c r="M467" s="136"/>
      <c r="N467" s="124"/>
      <c r="O467" s="209"/>
      <c r="P467" s="379"/>
      <c r="Q467" s="380"/>
      <c r="R467" s="202"/>
      <c r="S467" s="113" t="s">
        <v>72</v>
      </c>
      <c r="T467" s="113" t="s">
        <v>134</v>
      </c>
      <c r="U467" s="132"/>
      <c r="V467" s="114" t="s">
        <v>74</v>
      </c>
      <c r="W467" s="127"/>
      <c r="X467" s="109"/>
      <c r="Y467" s="120"/>
      <c r="Z467" s="124"/>
      <c r="AA467" s="139"/>
    </row>
    <row r="468" spans="1:27" ht="15.75" thickBot="1" x14ac:dyDescent="0.3">
      <c r="A468" s="31">
        <v>374</v>
      </c>
      <c r="B468" s="193"/>
      <c r="C468" s="190"/>
      <c r="D468" s="107"/>
      <c r="E468" s="209"/>
      <c r="F468" s="92"/>
      <c r="G468" s="373"/>
      <c r="H468" s="374"/>
      <c r="I468" s="374"/>
      <c r="J468" s="108"/>
      <c r="K468" s="109"/>
      <c r="L468" s="120"/>
      <c r="M468" s="136"/>
      <c r="N468" s="124"/>
      <c r="O468" s="209"/>
      <c r="P468" s="379"/>
      <c r="Q468" s="380"/>
      <c r="R468" s="202"/>
      <c r="S468" s="113" t="s">
        <v>72</v>
      </c>
      <c r="T468" s="113" t="s">
        <v>134</v>
      </c>
      <c r="U468" s="132"/>
      <c r="V468" s="114" t="s">
        <v>74</v>
      </c>
      <c r="W468" s="127"/>
      <c r="X468" s="109"/>
      <c r="Y468" s="120"/>
      <c r="Z468" s="124"/>
      <c r="AA468" s="139"/>
    </row>
    <row r="469" spans="1:27" ht="15.75" thickBot="1" x14ac:dyDescent="0.3">
      <c r="A469" s="31">
        <v>375</v>
      </c>
      <c r="B469" s="193"/>
      <c r="C469" s="190"/>
      <c r="D469" s="107"/>
      <c r="E469" s="209"/>
      <c r="F469" s="92"/>
      <c r="G469" s="373"/>
      <c r="H469" s="374"/>
      <c r="I469" s="374"/>
      <c r="J469" s="108"/>
      <c r="K469" s="109"/>
      <c r="L469" s="120"/>
      <c r="M469" s="136"/>
      <c r="N469" s="124"/>
      <c r="O469" s="209"/>
      <c r="P469" s="379"/>
      <c r="Q469" s="380"/>
      <c r="R469" s="202"/>
      <c r="S469" s="113" t="s">
        <v>72</v>
      </c>
      <c r="T469" s="113" t="s">
        <v>134</v>
      </c>
      <c r="U469" s="132"/>
      <c r="V469" s="114" t="s">
        <v>74</v>
      </c>
      <c r="W469" s="127"/>
      <c r="X469" s="109"/>
      <c r="Y469" s="120"/>
      <c r="Z469" s="124"/>
      <c r="AA469" s="139"/>
    </row>
    <row r="470" spans="1:27" ht="15.75" thickBot="1" x14ac:dyDescent="0.3">
      <c r="A470" s="31">
        <v>376</v>
      </c>
      <c r="B470" s="193"/>
      <c r="C470" s="190"/>
      <c r="D470" s="107"/>
      <c r="E470" s="209"/>
      <c r="F470" s="92"/>
      <c r="G470" s="373"/>
      <c r="H470" s="374"/>
      <c r="I470" s="374"/>
      <c r="J470" s="108"/>
      <c r="K470" s="109"/>
      <c r="L470" s="120"/>
      <c r="M470" s="136"/>
      <c r="N470" s="124"/>
      <c r="O470" s="209"/>
      <c r="P470" s="379"/>
      <c r="Q470" s="380"/>
      <c r="R470" s="202"/>
      <c r="S470" s="113" t="s">
        <v>72</v>
      </c>
      <c r="T470" s="113" t="s">
        <v>134</v>
      </c>
      <c r="U470" s="132"/>
      <c r="V470" s="114" t="s">
        <v>74</v>
      </c>
      <c r="W470" s="127"/>
      <c r="X470" s="109"/>
      <c r="Y470" s="120"/>
      <c r="Z470" s="124"/>
      <c r="AA470" s="139"/>
    </row>
    <row r="471" spans="1:27" ht="15.75" thickBot="1" x14ac:dyDescent="0.3">
      <c r="A471" s="31">
        <v>377</v>
      </c>
      <c r="B471" s="193"/>
      <c r="C471" s="190"/>
      <c r="D471" s="107"/>
      <c r="E471" s="209"/>
      <c r="F471" s="92"/>
      <c r="G471" s="373"/>
      <c r="H471" s="374"/>
      <c r="I471" s="374"/>
      <c r="J471" s="108"/>
      <c r="K471" s="109"/>
      <c r="L471" s="120"/>
      <c r="M471" s="136"/>
      <c r="N471" s="124"/>
      <c r="O471" s="209"/>
      <c r="P471" s="379"/>
      <c r="Q471" s="380"/>
      <c r="R471" s="202"/>
      <c r="S471" s="113" t="s">
        <v>72</v>
      </c>
      <c r="T471" s="113" t="s">
        <v>134</v>
      </c>
      <c r="U471" s="132"/>
      <c r="V471" s="114" t="s">
        <v>74</v>
      </c>
      <c r="W471" s="127"/>
      <c r="X471" s="109"/>
      <c r="Y471" s="120"/>
      <c r="Z471" s="124"/>
      <c r="AA471" s="139"/>
    </row>
    <row r="472" spans="1:27" ht="15.75" thickBot="1" x14ac:dyDescent="0.3">
      <c r="A472" s="31">
        <v>378</v>
      </c>
      <c r="B472" s="193"/>
      <c r="C472" s="190"/>
      <c r="D472" s="107"/>
      <c r="E472" s="209"/>
      <c r="F472" s="92"/>
      <c r="G472" s="373"/>
      <c r="H472" s="374"/>
      <c r="I472" s="374"/>
      <c r="J472" s="108"/>
      <c r="K472" s="109"/>
      <c r="L472" s="120"/>
      <c r="M472" s="136"/>
      <c r="N472" s="124"/>
      <c r="O472" s="209"/>
      <c r="P472" s="379"/>
      <c r="Q472" s="380"/>
      <c r="R472" s="202"/>
      <c r="S472" s="113" t="s">
        <v>72</v>
      </c>
      <c r="T472" s="113" t="s">
        <v>134</v>
      </c>
      <c r="U472" s="132"/>
      <c r="V472" s="114" t="s">
        <v>74</v>
      </c>
      <c r="W472" s="127"/>
      <c r="X472" s="109"/>
      <c r="Y472" s="120"/>
      <c r="Z472" s="124"/>
      <c r="AA472" s="139"/>
    </row>
    <row r="473" spans="1:27" ht="15.75" thickBot="1" x14ac:dyDescent="0.3">
      <c r="A473" s="31">
        <v>379</v>
      </c>
      <c r="B473" s="193"/>
      <c r="C473" s="190"/>
      <c r="D473" s="107"/>
      <c r="E473" s="209"/>
      <c r="F473" s="92"/>
      <c r="G473" s="373"/>
      <c r="H473" s="374"/>
      <c r="I473" s="374"/>
      <c r="J473" s="108"/>
      <c r="K473" s="109"/>
      <c r="L473" s="120"/>
      <c r="M473" s="136"/>
      <c r="N473" s="124"/>
      <c r="O473" s="209"/>
      <c r="P473" s="379"/>
      <c r="Q473" s="380"/>
      <c r="R473" s="202"/>
      <c r="S473" s="113" t="s">
        <v>72</v>
      </c>
      <c r="T473" s="113" t="s">
        <v>134</v>
      </c>
      <c r="U473" s="132"/>
      <c r="V473" s="114" t="s">
        <v>74</v>
      </c>
      <c r="W473" s="127"/>
      <c r="X473" s="109"/>
      <c r="Y473" s="120"/>
      <c r="Z473" s="124"/>
      <c r="AA473" s="139"/>
    </row>
    <row r="474" spans="1:27" ht="15.75" thickBot="1" x14ac:dyDescent="0.3">
      <c r="A474" s="31">
        <v>380</v>
      </c>
      <c r="B474" s="193"/>
      <c r="C474" s="190"/>
      <c r="D474" s="107"/>
      <c r="E474" s="209"/>
      <c r="F474" s="92"/>
      <c r="G474" s="373"/>
      <c r="H474" s="374"/>
      <c r="I474" s="374"/>
      <c r="J474" s="108"/>
      <c r="K474" s="109"/>
      <c r="L474" s="120"/>
      <c r="M474" s="136"/>
      <c r="N474" s="124"/>
      <c r="O474" s="209"/>
      <c r="P474" s="379"/>
      <c r="Q474" s="380"/>
      <c r="R474" s="202"/>
      <c r="S474" s="113" t="s">
        <v>72</v>
      </c>
      <c r="T474" s="113" t="s">
        <v>134</v>
      </c>
      <c r="U474" s="132"/>
      <c r="V474" s="114" t="s">
        <v>74</v>
      </c>
      <c r="W474" s="127"/>
      <c r="X474" s="109"/>
      <c r="Y474" s="120"/>
      <c r="Z474" s="124"/>
      <c r="AA474" s="139"/>
    </row>
    <row r="475" spans="1:27" ht="15.75" thickBot="1" x14ac:dyDescent="0.3">
      <c r="A475" s="31">
        <v>381</v>
      </c>
      <c r="B475" s="193"/>
      <c r="C475" s="190"/>
      <c r="D475" s="107"/>
      <c r="E475" s="209"/>
      <c r="F475" s="92"/>
      <c r="G475" s="373"/>
      <c r="H475" s="374"/>
      <c r="I475" s="374"/>
      <c r="J475" s="108"/>
      <c r="K475" s="109"/>
      <c r="L475" s="120"/>
      <c r="M475" s="136"/>
      <c r="N475" s="124"/>
      <c r="O475" s="209"/>
      <c r="P475" s="379"/>
      <c r="Q475" s="380"/>
      <c r="R475" s="202"/>
      <c r="S475" s="113" t="s">
        <v>72</v>
      </c>
      <c r="T475" s="113" t="s">
        <v>134</v>
      </c>
      <c r="U475" s="132"/>
      <c r="V475" s="114" t="s">
        <v>74</v>
      </c>
      <c r="W475" s="127"/>
      <c r="X475" s="109"/>
      <c r="Y475" s="120"/>
      <c r="Z475" s="124"/>
      <c r="AA475" s="139"/>
    </row>
    <row r="476" spans="1:27" ht="15.75" thickBot="1" x14ac:dyDescent="0.3">
      <c r="A476" s="31">
        <v>382</v>
      </c>
      <c r="B476" s="193"/>
      <c r="C476" s="190"/>
      <c r="D476" s="107"/>
      <c r="E476" s="209"/>
      <c r="F476" s="92"/>
      <c r="G476" s="373"/>
      <c r="H476" s="374"/>
      <c r="I476" s="374"/>
      <c r="J476" s="108"/>
      <c r="K476" s="109"/>
      <c r="L476" s="120"/>
      <c r="M476" s="136"/>
      <c r="N476" s="124"/>
      <c r="O476" s="209"/>
      <c r="P476" s="379"/>
      <c r="Q476" s="380"/>
      <c r="R476" s="202"/>
      <c r="S476" s="113" t="s">
        <v>72</v>
      </c>
      <c r="T476" s="113" t="s">
        <v>134</v>
      </c>
      <c r="U476" s="132"/>
      <c r="V476" s="114" t="s">
        <v>74</v>
      </c>
      <c r="W476" s="127"/>
      <c r="X476" s="109"/>
      <c r="Y476" s="120"/>
      <c r="Z476" s="124"/>
      <c r="AA476" s="139"/>
    </row>
    <row r="477" spans="1:27" ht="15.75" thickBot="1" x14ac:dyDescent="0.3">
      <c r="A477" s="31">
        <v>383</v>
      </c>
      <c r="B477" s="193"/>
      <c r="C477" s="190"/>
      <c r="D477" s="107"/>
      <c r="E477" s="209"/>
      <c r="F477" s="92"/>
      <c r="G477" s="373"/>
      <c r="H477" s="374"/>
      <c r="I477" s="374"/>
      <c r="J477" s="108"/>
      <c r="K477" s="109"/>
      <c r="L477" s="120"/>
      <c r="M477" s="136"/>
      <c r="N477" s="124"/>
      <c r="O477" s="209"/>
      <c r="P477" s="379"/>
      <c r="Q477" s="380"/>
      <c r="R477" s="202"/>
      <c r="S477" s="113" t="s">
        <v>72</v>
      </c>
      <c r="T477" s="113" t="s">
        <v>134</v>
      </c>
      <c r="U477" s="132"/>
      <c r="V477" s="114" t="s">
        <v>74</v>
      </c>
      <c r="W477" s="127"/>
      <c r="X477" s="109"/>
      <c r="Y477" s="120"/>
      <c r="Z477" s="124"/>
      <c r="AA477" s="139"/>
    </row>
    <row r="478" spans="1:27" ht="15.75" thickBot="1" x14ac:dyDescent="0.3">
      <c r="A478" s="31">
        <v>384</v>
      </c>
      <c r="B478" s="193"/>
      <c r="C478" s="190"/>
      <c r="D478" s="107"/>
      <c r="E478" s="209"/>
      <c r="F478" s="92"/>
      <c r="G478" s="373"/>
      <c r="H478" s="374"/>
      <c r="I478" s="374"/>
      <c r="J478" s="108"/>
      <c r="K478" s="109"/>
      <c r="L478" s="120"/>
      <c r="M478" s="136"/>
      <c r="N478" s="124"/>
      <c r="O478" s="209"/>
      <c r="P478" s="379"/>
      <c r="Q478" s="380"/>
      <c r="R478" s="202"/>
      <c r="S478" s="113" t="s">
        <v>72</v>
      </c>
      <c r="T478" s="113" t="s">
        <v>134</v>
      </c>
      <c r="U478" s="132"/>
      <c r="V478" s="114" t="s">
        <v>74</v>
      </c>
      <c r="W478" s="127"/>
      <c r="X478" s="109"/>
      <c r="Y478" s="120"/>
      <c r="Z478" s="124"/>
      <c r="AA478" s="139"/>
    </row>
    <row r="479" spans="1:27" ht="15.75" thickBot="1" x14ac:dyDescent="0.3">
      <c r="A479" s="31">
        <v>385</v>
      </c>
      <c r="B479" s="193"/>
      <c r="C479" s="190"/>
      <c r="D479" s="107"/>
      <c r="E479" s="209"/>
      <c r="F479" s="92"/>
      <c r="G479" s="373"/>
      <c r="H479" s="374"/>
      <c r="I479" s="374"/>
      <c r="J479" s="108"/>
      <c r="K479" s="109"/>
      <c r="L479" s="120"/>
      <c r="M479" s="136"/>
      <c r="N479" s="124"/>
      <c r="O479" s="209"/>
      <c r="P479" s="379"/>
      <c r="Q479" s="380"/>
      <c r="R479" s="202"/>
      <c r="S479" s="113" t="s">
        <v>72</v>
      </c>
      <c r="T479" s="113" t="s">
        <v>134</v>
      </c>
      <c r="U479" s="132"/>
      <c r="V479" s="114" t="s">
        <v>74</v>
      </c>
      <c r="W479" s="127"/>
      <c r="X479" s="109"/>
      <c r="Y479" s="120"/>
      <c r="Z479" s="124"/>
      <c r="AA479" s="139"/>
    </row>
    <row r="480" spans="1:27" ht="15.75" thickBot="1" x14ac:dyDescent="0.3">
      <c r="A480" s="31">
        <v>386</v>
      </c>
      <c r="B480" s="193"/>
      <c r="C480" s="190"/>
      <c r="D480" s="107"/>
      <c r="E480" s="209"/>
      <c r="F480" s="92"/>
      <c r="G480" s="373"/>
      <c r="H480" s="374"/>
      <c r="I480" s="374"/>
      <c r="J480" s="108"/>
      <c r="K480" s="109"/>
      <c r="L480" s="120"/>
      <c r="M480" s="136"/>
      <c r="N480" s="124"/>
      <c r="O480" s="209"/>
      <c r="P480" s="379"/>
      <c r="Q480" s="380"/>
      <c r="R480" s="202"/>
      <c r="S480" s="113" t="s">
        <v>72</v>
      </c>
      <c r="T480" s="113" t="s">
        <v>134</v>
      </c>
      <c r="U480" s="132"/>
      <c r="V480" s="114" t="s">
        <v>74</v>
      </c>
      <c r="W480" s="127"/>
      <c r="X480" s="109"/>
      <c r="Y480" s="120"/>
      <c r="Z480" s="124"/>
      <c r="AA480" s="139"/>
    </row>
    <row r="481" spans="1:27" ht="15.75" thickBot="1" x14ac:dyDescent="0.3">
      <c r="A481" s="31">
        <v>387</v>
      </c>
      <c r="B481" s="193"/>
      <c r="C481" s="190"/>
      <c r="D481" s="107"/>
      <c r="E481" s="209"/>
      <c r="F481" s="92"/>
      <c r="G481" s="373"/>
      <c r="H481" s="374"/>
      <c r="I481" s="374"/>
      <c r="J481" s="108"/>
      <c r="K481" s="109"/>
      <c r="L481" s="120"/>
      <c r="M481" s="136"/>
      <c r="N481" s="124"/>
      <c r="O481" s="209"/>
      <c r="P481" s="379"/>
      <c r="Q481" s="380"/>
      <c r="R481" s="202"/>
      <c r="S481" s="113" t="s">
        <v>72</v>
      </c>
      <c r="T481" s="113" t="s">
        <v>134</v>
      </c>
      <c r="U481" s="132"/>
      <c r="V481" s="114" t="s">
        <v>74</v>
      </c>
      <c r="W481" s="127"/>
      <c r="X481" s="109"/>
      <c r="Y481" s="120"/>
      <c r="Z481" s="124"/>
      <c r="AA481" s="139"/>
    </row>
    <row r="482" spans="1:27" ht="15.75" thickBot="1" x14ac:dyDescent="0.3">
      <c r="A482" s="31">
        <v>388</v>
      </c>
      <c r="B482" s="193"/>
      <c r="C482" s="190"/>
      <c r="D482" s="107"/>
      <c r="E482" s="209"/>
      <c r="F482" s="92"/>
      <c r="G482" s="373"/>
      <c r="H482" s="374"/>
      <c r="I482" s="374"/>
      <c r="J482" s="108"/>
      <c r="K482" s="109"/>
      <c r="L482" s="120"/>
      <c r="M482" s="136"/>
      <c r="N482" s="124"/>
      <c r="O482" s="209"/>
      <c r="P482" s="379"/>
      <c r="Q482" s="380"/>
      <c r="R482" s="202"/>
      <c r="S482" s="113" t="s">
        <v>72</v>
      </c>
      <c r="T482" s="113" t="s">
        <v>134</v>
      </c>
      <c r="U482" s="132"/>
      <c r="V482" s="114" t="s">
        <v>74</v>
      </c>
      <c r="W482" s="127"/>
      <c r="X482" s="109"/>
      <c r="Y482" s="120"/>
      <c r="Z482" s="124"/>
      <c r="AA482" s="139"/>
    </row>
    <row r="483" spans="1:27" ht="15.75" thickBot="1" x14ac:dyDescent="0.3">
      <c r="A483" s="31">
        <v>389</v>
      </c>
      <c r="B483" s="193"/>
      <c r="C483" s="190"/>
      <c r="D483" s="107"/>
      <c r="E483" s="209"/>
      <c r="F483" s="92"/>
      <c r="G483" s="373"/>
      <c r="H483" s="374"/>
      <c r="I483" s="374"/>
      <c r="J483" s="108"/>
      <c r="K483" s="109"/>
      <c r="L483" s="120"/>
      <c r="M483" s="136"/>
      <c r="N483" s="124"/>
      <c r="O483" s="209"/>
      <c r="P483" s="379"/>
      <c r="Q483" s="380"/>
      <c r="R483" s="202"/>
      <c r="S483" s="113" t="s">
        <v>72</v>
      </c>
      <c r="T483" s="113" t="s">
        <v>134</v>
      </c>
      <c r="U483" s="132"/>
      <c r="V483" s="114" t="s">
        <v>74</v>
      </c>
      <c r="W483" s="127"/>
      <c r="X483" s="109"/>
      <c r="Y483" s="120"/>
      <c r="Z483" s="124"/>
      <c r="AA483" s="139"/>
    </row>
    <row r="484" spans="1:27" ht="15.75" thickBot="1" x14ac:dyDescent="0.3">
      <c r="A484" s="31">
        <v>390</v>
      </c>
      <c r="B484" s="193"/>
      <c r="C484" s="190"/>
      <c r="D484" s="107"/>
      <c r="E484" s="209"/>
      <c r="F484" s="92"/>
      <c r="G484" s="373"/>
      <c r="H484" s="374"/>
      <c r="I484" s="374"/>
      <c r="J484" s="108"/>
      <c r="K484" s="109"/>
      <c r="L484" s="120"/>
      <c r="M484" s="136"/>
      <c r="N484" s="124"/>
      <c r="O484" s="209"/>
      <c r="P484" s="379"/>
      <c r="Q484" s="380"/>
      <c r="R484" s="202"/>
      <c r="S484" s="113" t="s">
        <v>72</v>
      </c>
      <c r="T484" s="113" t="s">
        <v>134</v>
      </c>
      <c r="U484" s="132"/>
      <c r="V484" s="114" t="s">
        <v>74</v>
      </c>
      <c r="W484" s="127"/>
      <c r="X484" s="109"/>
      <c r="Y484" s="120"/>
      <c r="Z484" s="124"/>
      <c r="AA484" s="139"/>
    </row>
    <row r="485" spans="1:27" ht="15.75" thickBot="1" x14ac:dyDescent="0.3">
      <c r="A485" s="31">
        <v>391</v>
      </c>
      <c r="B485" s="193"/>
      <c r="C485" s="190"/>
      <c r="D485" s="107"/>
      <c r="E485" s="209"/>
      <c r="F485" s="92"/>
      <c r="G485" s="373"/>
      <c r="H485" s="374"/>
      <c r="I485" s="374"/>
      <c r="J485" s="108"/>
      <c r="K485" s="109"/>
      <c r="L485" s="120"/>
      <c r="M485" s="136"/>
      <c r="N485" s="124"/>
      <c r="O485" s="209"/>
      <c r="P485" s="379"/>
      <c r="Q485" s="380"/>
      <c r="R485" s="202"/>
      <c r="S485" s="113" t="s">
        <v>72</v>
      </c>
      <c r="T485" s="113" t="s">
        <v>134</v>
      </c>
      <c r="U485" s="132"/>
      <c r="V485" s="114" t="s">
        <v>74</v>
      </c>
      <c r="W485" s="127"/>
      <c r="X485" s="109"/>
      <c r="Y485" s="120"/>
      <c r="Z485" s="124"/>
      <c r="AA485" s="139"/>
    </row>
    <row r="486" spans="1:27" ht="15.75" thickBot="1" x14ac:dyDescent="0.3">
      <c r="A486" s="31">
        <v>392</v>
      </c>
      <c r="B486" s="193"/>
      <c r="C486" s="190"/>
      <c r="D486" s="107"/>
      <c r="E486" s="209"/>
      <c r="F486" s="92"/>
      <c r="G486" s="373"/>
      <c r="H486" s="374"/>
      <c r="I486" s="374"/>
      <c r="J486" s="108"/>
      <c r="K486" s="109"/>
      <c r="L486" s="120"/>
      <c r="M486" s="136"/>
      <c r="N486" s="124"/>
      <c r="O486" s="209"/>
      <c r="P486" s="379"/>
      <c r="Q486" s="380"/>
      <c r="R486" s="202"/>
      <c r="S486" s="113" t="s">
        <v>72</v>
      </c>
      <c r="T486" s="113" t="s">
        <v>134</v>
      </c>
      <c r="U486" s="132"/>
      <c r="V486" s="114" t="s">
        <v>74</v>
      </c>
      <c r="W486" s="127"/>
      <c r="X486" s="109"/>
      <c r="Y486" s="120"/>
      <c r="Z486" s="124"/>
      <c r="AA486" s="139"/>
    </row>
    <row r="487" spans="1:27" ht="15.75" thickBot="1" x14ac:dyDescent="0.3">
      <c r="A487" s="31">
        <v>393</v>
      </c>
      <c r="B487" s="193"/>
      <c r="C487" s="190"/>
      <c r="D487" s="107"/>
      <c r="E487" s="209"/>
      <c r="F487" s="92"/>
      <c r="G487" s="373"/>
      <c r="H487" s="374"/>
      <c r="I487" s="374"/>
      <c r="J487" s="108"/>
      <c r="K487" s="109"/>
      <c r="L487" s="120"/>
      <c r="M487" s="136"/>
      <c r="N487" s="124"/>
      <c r="O487" s="209"/>
      <c r="P487" s="379"/>
      <c r="Q487" s="380"/>
      <c r="R487" s="202"/>
      <c r="S487" s="113" t="s">
        <v>72</v>
      </c>
      <c r="T487" s="113" t="s">
        <v>134</v>
      </c>
      <c r="U487" s="132"/>
      <c r="V487" s="114" t="s">
        <v>74</v>
      </c>
      <c r="W487" s="127"/>
      <c r="X487" s="109"/>
      <c r="Y487" s="120"/>
      <c r="Z487" s="124"/>
      <c r="AA487" s="139"/>
    </row>
    <row r="488" spans="1:27" ht="15.75" thickBot="1" x14ac:dyDescent="0.3">
      <c r="A488" s="31">
        <v>394</v>
      </c>
      <c r="B488" s="193"/>
      <c r="C488" s="190"/>
      <c r="D488" s="107"/>
      <c r="E488" s="209"/>
      <c r="F488" s="92"/>
      <c r="G488" s="373"/>
      <c r="H488" s="374"/>
      <c r="I488" s="374"/>
      <c r="J488" s="108"/>
      <c r="K488" s="109"/>
      <c r="L488" s="120"/>
      <c r="M488" s="136"/>
      <c r="N488" s="124"/>
      <c r="O488" s="209"/>
      <c r="P488" s="379"/>
      <c r="Q488" s="380"/>
      <c r="R488" s="202"/>
      <c r="S488" s="113" t="s">
        <v>72</v>
      </c>
      <c r="T488" s="113" t="s">
        <v>134</v>
      </c>
      <c r="U488" s="132"/>
      <c r="V488" s="114" t="s">
        <v>74</v>
      </c>
      <c r="W488" s="127"/>
      <c r="X488" s="109"/>
      <c r="Y488" s="120"/>
      <c r="Z488" s="124"/>
      <c r="AA488" s="139"/>
    </row>
    <row r="489" spans="1:27" ht="15.75" thickBot="1" x14ac:dyDescent="0.3">
      <c r="A489" s="31">
        <v>395</v>
      </c>
      <c r="B489" s="193"/>
      <c r="C489" s="190"/>
      <c r="D489" s="107"/>
      <c r="E489" s="209"/>
      <c r="F489" s="92"/>
      <c r="G489" s="373"/>
      <c r="H489" s="374"/>
      <c r="I489" s="374"/>
      <c r="J489" s="108"/>
      <c r="K489" s="109"/>
      <c r="L489" s="120"/>
      <c r="M489" s="136"/>
      <c r="N489" s="124"/>
      <c r="O489" s="209"/>
      <c r="P489" s="379"/>
      <c r="Q489" s="380"/>
      <c r="R489" s="202"/>
      <c r="S489" s="113" t="s">
        <v>72</v>
      </c>
      <c r="T489" s="113" t="s">
        <v>134</v>
      </c>
      <c r="U489" s="132"/>
      <c r="V489" s="114" t="s">
        <v>74</v>
      </c>
      <c r="W489" s="127"/>
      <c r="X489" s="109"/>
      <c r="Y489" s="120"/>
      <c r="Z489" s="124"/>
      <c r="AA489" s="139"/>
    </row>
    <row r="490" spans="1:27" ht="15.75" thickBot="1" x14ac:dyDescent="0.3">
      <c r="A490" s="31">
        <v>396</v>
      </c>
      <c r="B490" s="193"/>
      <c r="C490" s="190"/>
      <c r="D490" s="107"/>
      <c r="E490" s="209"/>
      <c r="F490" s="92"/>
      <c r="G490" s="373"/>
      <c r="H490" s="374"/>
      <c r="I490" s="374"/>
      <c r="J490" s="108"/>
      <c r="K490" s="109"/>
      <c r="L490" s="120"/>
      <c r="M490" s="136"/>
      <c r="N490" s="124"/>
      <c r="O490" s="209"/>
      <c r="P490" s="379"/>
      <c r="Q490" s="380"/>
      <c r="R490" s="202"/>
      <c r="S490" s="113" t="s">
        <v>72</v>
      </c>
      <c r="T490" s="113" t="s">
        <v>134</v>
      </c>
      <c r="U490" s="132"/>
      <c r="V490" s="114" t="s">
        <v>74</v>
      </c>
      <c r="W490" s="127"/>
      <c r="X490" s="109"/>
      <c r="Y490" s="120"/>
      <c r="Z490" s="124"/>
      <c r="AA490" s="139"/>
    </row>
    <row r="491" spans="1:27" ht="15.75" thickBot="1" x14ac:dyDescent="0.3">
      <c r="A491" s="31">
        <v>397</v>
      </c>
      <c r="B491" s="193"/>
      <c r="C491" s="190"/>
      <c r="D491" s="107"/>
      <c r="E491" s="209"/>
      <c r="F491" s="92"/>
      <c r="G491" s="373"/>
      <c r="H491" s="374"/>
      <c r="I491" s="374"/>
      <c r="J491" s="108"/>
      <c r="K491" s="109"/>
      <c r="L491" s="120"/>
      <c r="M491" s="136"/>
      <c r="N491" s="124"/>
      <c r="O491" s="209"/>
      <c r="P491" s="379"/>
      <c r="Q491" s="380"/>
      <c r="R491" s="202"/>
      <c r="S491" s="113" t="s">
        <v>72</v>
      </c>
      <c r="T491" s="113" t="s">
        <v>134</v>
      </c>
      <c r="U491" s="132"/>
      <c r="V491" s="114" t="s">
        <v>74</v>
      </c>
      <c r="W491" s="127"/>
      <c r="X491" s="109"/>
      <c r="Y491" s="120"/>
      <c r="Z491" s="124"/>
      <c r="AA491" s="139"/>
    </row>
    <row r="492" spans="1:27" ht="15.75" thickBot="1" x14ac:dyDescent="0.3">
      <c r="A492" s="31">
        <v>398</v>
      </c>
      <c r="B492" s="193"/>
      <c r="C492" s="190"/>
      <c r="D492" s="107"/>
      <c r="E492" s="209"/>
      <c r="F492" s="92"/>
      <c r="G492" s="373"/>
      <c r="H492" s="374"/>
      <c r="I492" s="374"/>
      <c r="J492" s="108"/>
      <c r="K492" s="109"/>
      <c r="L492" s="120"/>
      <c r="M492" s="136"/>
      <c r="N492" s="124"/>
      <c r="O492" s="209"/>
      <c r="P492" s="379"/>
      <c r="Q492" s="380"/>
      <c r="R492" s="202"/>
      <c r="S492" s="113" t="s">
        <v>72</v>
      </c>
      <c r="T492" s="113" t="s">
        <v>134</v>
      </c>
      <c r="U492" s="132"/>
      <c r="V492" s="114" t="s">
        <v>74</v>
      </c>
      <c r="W492" s="127"/>
      <c r="X492" s="109"/>
      <c r="Y492" s="120"/>
      <c r="Z492" s="124"/>
      <c r="AA492" s="139"/>
    </row>
    <row r="493" spans="1:27" ht="15.75" thickBot="1" x14ac:dyDescent="0.3">
      <c r="A493" s="31">
        <v>399</v>
      </c>
      <c r="B493" s="193"/>
      <c r="C493" s="190"/>
      <c r="D493" s="107"/>
      <c r="E493" s="209"/>
      <c r="F493" s="92"/>
      <c r="G493" s="373"/>
      <c r="H493" s="374"/>
      <c r="I493" s="374"/>
      <c r="J493" s="108"/>
      <c r="K493" s="109"/>
      <c r="L493" s="120"/>
      <c r="M493" s="136"/>
      <c r="N493" s="124"/>
      <c r="O493" s="209"/>
      <c r="P493" s="379"/>
      <c r="Q493" s="380"/>
      <c r="R493" s="202"/>
      <c r="S493" s="113" t="s">
        <v>72</v>
      </c>
      <c r="T493" s="113" t="s">
        <v>134</v>
      </c>
      <c r="U493" s="132"/>
      <c r="V493" s="114" t="s">
        <v>74</v>
      </c>
      <c r="W493" s="127"/>
      <c r="X493" s="109"/>
      <c r="Y493" s="120"/>
      <c r="Z493" s="124"/>
      <c r="AA493" s="139"/>
    </row>
    <row r="494" spans="1:27" ht="15.75" thickBot="1" x14ac:dyDescent="0.3">
      <c r="A494" s="32">
        <v>400</v>
      </c>
      <c r="B494" s="196"/>
      <c r="C494" s="191"/>
      <c r="D494" s="110"/>
      <c r="E494" s="210"/>
      <c r="F494" s="93"/>
      <c r="G494" s="375"/>
      <c r="H494" s="376"/>
      <c r="I494" s="376"/>
      <c r="J494" s="111"/>
      <c r="K494" s="112"/>
      <c r="L494" s="121"/>
      <c r="M494" s="137"/>
      <c r="N494" s="125"/>
      <c r="O494" s="140"/>
      <c r="P494" s="453"/>
      <c r="Q494" s="454"/>
      <c r="R494" s="203"/>
      <c r="S494" s="113" t="s">
        <v>72</v>
      </c>
      <c r="T494" s="113" t="s">
        <v>134</v>
      </c>
      <c r="U494" s="133"/>
      <c r="V494" s="114" t="s">
        <v>74</v>
      </c>
      <c r="W494" s="128"/>
      <c r="X494" s="112"/>
      <c r="Y494" s="121"/>
      <c r="Z494" s="125"/>
      <c r="AA494" s="140"/>
    </row>
  </sheetData>
  <sheetProtection formatCells="0" insertRows="0" insertHyperlinks="0"/>
  <mergeCells count="902">
    <mergeCell ref="G494:I494"/>
    <mergeCell ref="P494:Q494"/>
    <mergeCell ref="G491:I491"/>
    <mergeCell ref="P491:Q491"/>
    <mergeCell ref="G492:I492"/>
    <mergeCell ref="P492:Q492"/>
    <mergeCell ref="G493:I493"/>
    <mergeCell ref="P493:Q493"/>
    <mergeCell ref="G488:I488"/>
    <mergeCell ref="P488:Q488"/>
    <mergeCell ref="G489:I489"/>
    <mergeCell ref="P489:Q489"/>
    <mergeCell ref="G490:I490"/>
    <mergeCell ref="P490:Q490"/>
    <mergeCell ref="G485:I485"/>
    <mergeCell ref="P485:Q485"/>
    <mergeCell ref="G486:I486"/>
    <mergeCell ref="P486:Q486"/>
    <mergeCell ref="G487:I487"/>
    <mergeCell ref="P487:Q487"/>
    <mergeCell ref="G482:I482"/>
    <mergeCell ref="P482:Q482"/>
    <mergeCell ref="G483:I483"/>
    <mergeCell ref="P483:Q483"/>
    <mergeCell ref="G484:I484"/>
    <mergeCell ref="P484:Q484"/>
    <mergeCell ref="G479:I479"/>
    <mergeCell ref="P479:Q479"/>
    <mergeCell ref="G480:I480"/>
    <mergeCell ref="P480:Q480"/>
    <mergeCell ref="G481:I481"/>
    <mergeCell ref="P481:Q481"/>
    <mergeCell ref="G476:I476"/>
    <mergeCell ref="P476:Q476"/>
    <mergeCell ref="G477:I477"/>
    <mergeCell ref="P477:Q477"/>
    <mergeCell ref="G478:I478"/>
    <mergeCell ref="P478:Q478"/>
    <mergeCell ref="G473:I473"/>
    <mergeCell ref="P473:Q473"/>
    <mergeCell ref="G474:I474"/>
    <mergeCell ref="P474:Q474"/>
    <mergeCell ref="G475:I475"/>
    <mergeCell ref="P475:Q475"/>
    <mergeCell ref="G470:I470"/>
    <mergeCell ref="P470:Q470"/>
    <mergeCell ref="G471:I471"/>
    <mergeCell ref="P471:Q471"/>
    <mergeCell ref="G472:I472"/>
    <mergeCell ref="P472:Q472"/>
    <mergeCell ref="G467:I467"/>
    <mergeCell ref="P467:Q467"/>
    <mergeCell ref="G468:I468"/>
    <mergeCell ref="P468:Q468"/>
    <mergeCell ref="G469:I469"/>
    <mergeCell ref="P469:Q469"/>
    <mergeCell ref="G464:I464"/>
    <mergeCell ref="P464:Q464"/>
    <mergeCell ref="G465:I465"/>
    <mergeCell ref="P465:Q465"/>
    <mergeCell ref="G466:I466"/>
    <mergeCell ref="P466:Q466"/>
    <mergeCell ref="G461:I461"/>
    <mergeCell ref="P461:Q461"/>
    <mergeCell ref="G462:I462"/>
    <mergeCell ref="P462:Q462"/>
    <mergeCell ref="G463:I463"/>
    <mergeCell ref="P463:Q463"/>
    <mergeCell ref="G458:I458"/>
    <mergeCell ref="P458:Q458"/>
    <mergeCell ref="G459:I459"/>
    <mergeCell ref="P459:Q459"/>
    <mergeCell ref="G460:I460"/>
    <mergeCell ref="P460:Q460"/>
    <mergeCell ref="G455:I455"/>
    <mergeCell ref="P455:Q455"/>
    <mergeCell ref="G456:I456"/>
    <mergeCell ref="P456:Q456"/>
    <mergeCell ref="G457:I457"/>
    <mergeCell ref="P457:Q457"/>
    <mergeCell ref="G452:I452"/>
    <mergeCell ref="P452:Q452"/>
    <mergeCell ref="G453:I453"/>
    <mergeCell ref="P453:Q453"/>
    <mergeCell ref="G454:I454"/>
    <mergeCell ref="P454:Q454"/>
    <mergeCell ref="G449:I449"/>
    <mergeCell ref="P449:Q449"/>
    <mergeCell ref="G450:I450"/>
    <mergeCell ref="P450:Q450"/>
    <mergeCell ref="G451:I451"/>
    <mergeCell ref="P451:Q451"/>
    <mergeCell ref="G446:I446"/>
    <mergeCell ref="P446:Q446"/>
    <mergeCell ref="G447:I447"/>
    <mergeCell ref="P447:Q447"/>
    <mergeCell ref="G448:I448"/>
    <mergeCell ref="P448:Q448"/>
    <mergeCell ref="G443:I443"/>
    <mergeCell ref="P443:Q443"/>
    <mergeCell ref="G444:I444"/>
    <mergeCell ref="P444:Q444"/>
    <mergeCell ref="G445:I445"/>
    <mergeCell ref="P445:Q445"/>
    <mergeCell ref="G440:I440"/>
    <mergeCell ref="P440:Q440"/>
    <mergeCell ref="G441:I441"/>
    <mergeCell ref="P441:Q441"/>
    <mergeCell ref="G442:I442"/>
    <mergeCell ref="P442:Q442"/>
    <mergeCell ref="G437:I437"/>
    <mergeCell ref="P437:Q437"/>
    <mergeCell ref="G438:I438"/>
    <mergeCell ref="P438:Q438"/>
    <mergeCell ref="G439:I439"/>
    <mergeCell ref="P439:Q439"/>
    <mergeCell ref="G434:I434"/>
    <mergeCell ref="P434:Q434"/>
    <mergeCell ref="G435:I435"/>
    <mergeCell ref="P435:Q435"/>
    <mergeCell ref="G436:I436"/>
    <mergeCell ref="P436:Q436"/>
    <mergeCell ref="G431:I431"/>
    <mergeCell ref="P431:Q431"/>
    <mergeCell ref="G432:I432"/>
    <mergeCell ref="P432:Q432"/>
    <mergeCell ref="G433:I433"/>
    <mergeCell ref="P433:Q433"/>
    <mergeCell ref="G428:I428"/>
    <mergeCell ref="P428:Q428"/>
    <mergeCell ref="G429:I429"/>
    <mergeCell ref="P429:Q429"/>
    <mergeCell ref="G430:I430"/>
    <mergeCell ref="P430:Q430"/>
    <mergeCell ref="G425:I425"/>
    <mergeCell ref="P425:Q425"/>
    <mergeCell ref="G426:I426"/>
    <mergeCell ref="P426:Q426"/>
    <mergeCell ref="G427:I427"/>
    <mergeCell ref="P427:Q427"/>
    <mergeCell ref="G422:I422"/>
    <mergeCell ref="P422:Q422"/>
    <mergeCell ref="G423:I423"/>
    <mergeCell ref="P423:Q423"/>
    <mergeCell ref="G424:I424"/>
    <mergeCell ref="P424:Q424"/>
    <mergeCell ref="G419:I419"/>
    <mergeCell ref="P419:Q419"/>
    <mergeCell ref="G420:I420"/>
    <mergeCell ref="P420:Q420"/>
    <mergeCell ref="G421:I421"/>
    <mergeCell ref="P421:Q421"/>
    <mergeCell ref="G416:I416"/>
    <mergeCell ref="P416:Q416"/>
    <mergeCell ref="G417:I417"/>
    <mergeCell ref="P417:Q417"/>
    <mergeCell ref="G418:I418"/>
    <mergeCell ref="P418:Q418"/>
    <mergeCell ref="G413:I413"/>
    <mergeCell ref="P413:Q413"/>
    <mergeCell ref="G414:I414"/>
    <mergeCell ref="P414:Q414"/>
    <mergeCell ref="G415:I415"/>
    <mergeCell ref="P415:Q415"/>
    <mergeCell ref="G410:I410"/>
    <mergeCell ref="P410:Q410"/>
    <mergeCell ref="G411:I411"/>
    <mergeCell ref="P411:Q411"/>
    <mergeCell ref="G412:I412"/>
    <mergeCell ref="P412:Q412"/>
    <mergeCell ref="G407:I407"/>
    <mergeCell ref="P407:Q407"/>
    <mergeCell ref="G408:I408"/>
    <mergeCell ref="P408:Q408"/>
    <mergeCell ref="G409:I409"/>
    <mergeCell ref="P409:Q409"/>
    <mergeCell ref="G404:I404"/>
    <mergeCell ref="P404:Q404"/>
    <mergeCell ref="G405:I405"/>
    <mergeCell ref="P405:Q405"/>
    <mergeCell ref="G406:I406"/>
    <mergeCell ref="P406:Q406"/>
    <mergeCell ref="G401:I401"/>
    <mergeCell ref="P401:Q401"/>
    <mergeCell ref="G402:I402"/>
    <mergeCell ref="P402:Q402"/>
    <mergeCell ref="G403:I403"/>
    <mergeCell ref="P403:Q403"/>
    <mergeCell ref="G398:I398"/>
    <mergeCell ref="P398:Q398"/>
    <mergeCell ref="G399:I399"/>
    <mergeCell ref="P399:Q399"/>
    <mergeCell ref="G400:I400"/>
    <mergeCell ref="P400:Q400"/>
    <mergeCell ref="G395:I395"/>
    <mergeCell ref="P395:Q395"/>
    <mergeCell ref="G396:I396"/>
    <mergeCell ref="P396:Q396"/>
    <mergeCell ref="G397:I397"/>
    <mergeCell ref="P397:Q397"/>
    <mergeCell ref="G392:I392"/>
    <mergeCell ref="P392:Q392"/>
    <mergeCell ref="G393:I393"/>
    <mergeCell ref="P393:Q393"/>
    <mergeCell ref="G394:I394"/>
    <mergeCell ref="P394:Q394"/>
    <mergeCell ref="G389:I389"/>
    <mergeCell ref="P389:Q389"/>
    <mergeCell ref="G390:I390"/>
    <mergeCell ref="P390:Q390"/>
    <mergeCell ref="G391:I391"/>
    <mergeCell ref="P391:Q391"/>
    <mergeCell ref="G386:I386"/>
    <mergeCell ref="P386:Q386"/>
    <mergeCell ref="G387:I387"/>
    <mergeCell ref="P387:Q387"/>
    <mergeCell ref="G388:I388"/>
    <mergeCell ref="P388:Q388"/>
    <mergeCell ref="G383:I383"/>
    <mergeCell ref="P383:Q383"/>
    <mergeCell ref="G384:I384"/>
    <mergeCell ref="P384:Q384"/>
    <mergeCell ref="G385:I385"/>
    <mergeCell ref="P385:Q385"/>
    <mergeCell ref="G380:I380"/>
    <mergeCell ref="P380:Q380"/>
    <mergeCell ref="G381:I381"/>
    <mergeCell ref="P381:Q381"/>
    <mergeCell ref="G382:I382"/>
    <mergeCell ref="P382:Q382"/>
    <mergeCell ref="G377:I377"/>
    <mergeCell ref="P377:Q377"/>
    <mergeCell ref="G378:I378"/>
    <mergeCell ref="P378:Q378"/>
    <mergeCell ref="G379:I379"/>
    <mergeCell ref="P379:Q379"/>
    <mergeCell ref="G374:I374"/>
    <mergeCell ref="P374:Q374"/>
    <mergeCell ref="G375:I375"/>
    <mergeCell ref="P375:Q375"/>
    <mergeCell ref="G376:I376"/>
    <mergeCell ref="P376:Q376"/>
    <mergeCell ref="G371:I371"/>
    <mergeCell ref="P371:Q371"/>
    <mergeCell ref="G372:I372"/>
    <mergeCell ref="P372:Q372"/>
    <mergeCell ref="G373:I373"/>
    <mergeCell ref="P373:Q373"/>
    <mergeCell ref="G368:I368"/>
    <mergeCell ref="P368:Q368"/>
    <mergeCell ref="G369:I369"/>
    <mergeCell ref="P369:Q369"/>
    <mergeCell ref="G370:I370"/>
    <mergeCell ref="P370:Q370"/>
    <mergeCell ref="G365:I365"/>
    <mergeCell ref="P365:Q365"/>
    <mergeCell ref="G366:I366"/>
    <mergeCell ref="P366:Q366"/>
    <mergeCell ref="G367:I367"/>
    <mergeCell ref="P367:Q367"/>
    <mergeCell ref="G362:I362"/>
    <mergeCell ref="P362:Q362"/>
    <mergeCell ref="G363:I363"/>
    <mergeCell ref="P363:Q363"/>
    <mergeCell ref="G364:I364"/>
    <mergeCell ref="P364:Q364"/>
    <mergeCell ref="G359:I359"/>
    <mergeCell ref="P359:Q359"/>
    <mergeCell ref="G360:I360"/>
    <mergeCell ref="P360:Q360"/>
    <mergeCell ref="G361:I361"/>
    <mergeCell ref="P361:Q361"/>
    <mergeCell ref="G356:I356"/>
    <mergeCell ref="P356:Q356"/>
    <mergeCell ref="G357:I357"/>
    <mergeCell ref="P357:Q357"/>
    <mergeCell ref="G358:I358"/>
    <mergeCell ref="P358:Q358"/>
    <mergeCell ref="G353:I353"/>
    <mergeCell ref="P353:Q353"/>
    <mergeCell ref="G354:I354"/>
    <mergeCell ref="P354:Q354"/>
    <mergeCell ref="G355:I355"/>
    <mergeCell ref="P355:Q355"/>
    <mergeCell ref="G350:I350"/>
    <mergeCell ref="P350:Q350"/>
    <mergeCell ref="G351:I351"/>
    <mergeCell ref="P351:Q351"/>
    <mergeCell ref="G352:I352"/>
    <mergeCell ref="P352:Q352"/>
    <mergeCell ref="G347:I347"/>
    <mergeCell ref="P347:Q347"/>
    <mergeCell ref="G348:I348"/>
    <mergeCell ref="P348:Q348"/>
    <mergeCell ref="G349:I349"/>
    <mergeCell ref="P349:Q349"/>
    <mergeCell ref="G344:I344"/>
    <mergeCell ref="P344:Q344"/>
    <mergeCell ref="G345:I345"/>
    <mergeCell ref="P345:Q345"/>
    <mergeCell ref="G346:I346"/>
    <mergeCell ref="P346:Q346"/>
    <mergeCell ref="G341:I341"/>
    <mergeCell ref="P341:Q341"/>
    <mergeCell ref="G342:I342"/>
    <mergeCell ref="P342:Q342"/>
    <mergeCell ref="G343:I343"/>
    <mergeCell ref="P343:Q343"/>
    <mergeCell ref="G338:I338"/>
    <mergeCell ref="P338:Q338"/>
    <mergeCell ref="G339:I339"/>
    <mergeCell ref="P339:Q339"/>
    <mergeCell ref="G340:I340"/>
    <mergeCell ref="P340:Q340"/>
    <mergeCell ref="G335:I335"/>
    <mergeCell ref="P335:Q335"/>
    <mergeCell ref="G336:I336"/>
    <mergeCell ref="P336:Q336"/>
    <mergeCell ref="G337:I337"/>
    <mergeCell ref="P337:Q337"/>
    <mergeCell ref="G332:I332"/>
    <mergeCell ref="P332:Q332"/>
    <mergeCell ref="G333:I333"/>
    <mergeCell ref="P333:Q333"/>
    <mergeCell ref="G334:I334"/>
    <mergeCell ref="P334:Q334"/>
    <mergeCell ref="G329:I329"/>
    <mergeCell ref="P329:Q329"/>
    <mergeCell ref="G330:I330"/>
    <mergeCell ref="P330:Q330"/>
    <mergeCell ref="G331:I331"/>
    <mergeCell ref="P331:Q331"/>
    <mergeCell ref="G326:I326"/>
    <mergeCell ref="P326:Q326"/>
    <mergeCell ref="G327:I327"/>
    <mergeCell ref="P327:Q327"/>
    <mergeCell ref="G328:I328"/>
    <mergeCell ref="P328:Q328"/>
    <mergeCell ref="G323:I323"/>
    <mergeCell ref="P323:Q323"/>
    <mergeCell ref="G324:I324"/>
    <mergeCell ref="P324:Q324"/>
    <mergeCell ref="G325:I325"/>
    <mergeCell ref="P325:Q325"/>
    <mergeCell ref="G320:I320"/>
    <mergeCell ref="P320:Q320"/>
    <mergeCell ref="G321:I321"/>
    <mergeCell ref="P321:Q321"/>
    <mergeCell ref="G322:I322"/>
    <mergeCell ref="P322:Q322"/>
    <mergeCell ref="G317:I317"/>
    <mergeCell ref="P317:Q317"/>
    <mergeCell ref="G318:I318"/>
    <mergeCell ref="P318:Q318"/>
    <mergeCell ref="G319:I319"/>
    <mergeCell ref="P319:Q319"/>
    <mergeCell ref="G314:I314"/>
    <mergeCell ref="P314:Q314"/>
    <mergeCell ref="G315:I315"/>
    <mergeCell ref="P315:Q315"/>
    <mergeCell ref="G316:I316"/>
    <mergeCell ref="P316:Q316"/>
    <mergeCell ref="G311:I311"/>
    <mergeCell ref="P311:Q311"/>
    <mergeCell ref="G312:I312"/>
    <mergeCell ref="P312:Q312"/>
    <mergeCell ref="G313:I313"/>
    <mergeCell ref="P313:Q313"/>
    <mergeCell ref="G308:I308"/>
    <mergeCell ref="P308:Q308"/>
    <mergeCell ref="G309:I309"/>
    <mergeCell ref="P309:Q309"/>
    <mergeCell ref="G310:I310"/>
    <mergeCell ref="P310:Q310"/>
    <mergeCell ref="G305:I305"/>
    <mergeCell ref="P305:Q305"/>
    <mergeCell ref="G306:I306"/>
    <mergeCell ref="P306:Q306"/>
    <mergeCell ref="G307:I307"/>
    <mergeCell ref="P307:Q307"/>
    <mergeCell ref="G302:I302"/>
    <mergeCell ref="P302:Q302"/>
    <mergeCell ref="G303:I303"/>
    <mergeCell ref="P303:Q303"/>
    <mergeCell ref="G304:I304"/>
    <mergeCell ref="P304:Q304"/>
    <mergeCell ref="G299:I299"/>
    <mergeCell ref="P299:Q299"/>
    <mergeCell ref="G300:I300"/>
    <mergeCell ref="P300:Q300"/>
    <mergeCell ref="G301:I301"/>
    <mergeCell ref="P301:Q301"/>
    <mergeCell ref="G296:I296"/>
    <mergeCell ref="P296:Q296"/>
    <mergeCell ref="G297:I297"/>
    <mergeCell ref="P297:Q297"/>
    <mergeCell ref="G298:I298"/>
    <mergeCell ref="P298:Q298"/>
    <mergeCell ref="G293:I293"/>
    <mergeCell ref="P293:Q293"/>
    <mergeCell ref="G294:I294"/>
    <mergeCell ref="P294:Q294"/>
    <mergeCell ref="G295:I295"/>
    <mergeCell ref="P295:Q295"/>
    <mergeCell ref="G290:I290"/>
    <mergeCell ref="P290:Q290"/>
    <mergeCell ref="G291:I291"/>
    <mergeCell ref="P291:Q291"/>
    <mergeCell ref="G292:I292"/>
    <mergeCell ref="P292:Q292"/>
    <mergeCell ref="G287:I287"/>
    <mergeCell ref="P287:Q287"/>
    <mergeCell ref="G288:I288"/>
    <mergeCell ref="P288:Q288"/>
    <mergeCell ref="G289:I289"/>
    <mergeCell ref="P289:Q289"/>
    <mergeCell ref="G284:I284"/>
    <mergeCell ref="P284:Q284"/>
    <mergeCell ref="G285:I285"/>
    <mergeCell ref="P285:Q285"/>
    <mergeCell ref="G286:I286"/>
    <mergeCell ref="P286:Q286"/>
    <mergeCell ref="G281:I281"/>
    <mergeCell ref="P281:Q281"/>
    <mergeCell ref="G282:I282"/>
    <mergeCell ref="P282:Q282"/>
    <mergeCell ref="G283:I283"/>
    <mergeCell ref="P283:Q283"/>
    <mergeCell ref="G278:I278"/>
    <mergeCell ref="P278:Q278"/>
    <mergeCell ref="G279:I279"/>
    <mergeCell ref="P279:Q279"/>
    <mergeCell ref="G280:I280"/>
    <mergeCell ref="P280:Q280"/>
    <mergeCell ref="G275:I275"/>
    <mergeCell ref="P275:Q275"/>
    <mergeCell ref="G276:I276"/>
    <mergeCell ref="P276:Q276"/>
    <mergeCell ref="G277:I277"/>
    <mergeCell ref="P277:Q277"/>
    <mergeCell ref="G272:I272"/>
    <mergeCell ref="P272:Q272"/>
    <mergeCell ref="G273:I273"/>
    <mergeCell ref="P273:Q273"/>
    <mergeCell ref="G274:I274"/>
    <mergeCell ref="P274:Q274"/>
    <mergeCell ref="G269:I269"/>
    <mergeCell ref="P269:Q269"/>
    <mergeCell ref="G270:I270"/>
    <mergeCell ref="P270:Q270"/>
    <mergeCell ref="G271:I271"/>
    <mergeCell ref="P271:Q271"/>
    <mergeCell ref="G266:I266"/>
    <mergeCell ref="P266:Q266"/>
    <mergeCell ref="G267:I267"/>
    <mergeCell ref="P267:Q267"/>
    <mergeCell ref="G268:I268"/>
    <mergeCell ref="P268:Q268"/>
    <mergeCell ref="G263:I263"/>
    <mergeCell ref="P263:Q263"/>
    <mergeCell ref="G264:I264"/>
    <mergeCell ref="P264:Q264"/>
    <mergeCell ref="G265:I265"/>
    <mergeCell ref="P265:Q265"/>
    <mergeCell ref="G260:I260"/>
    <mergeCell ref="P260:Q260"/>
    <mergeCell ref="G261:I261"/>
    <mergeCell ref="P261:Q261"/>
    <mergeCell ref="G262:I262"/>
    <mergeCell ref="P262:Q262"/>
    <mergeCell ref="G257:I257"/>
    <mergeCell ref="P257:Q257"/>
    <mergeCell ref="G258:I258"/>
    <mergeCell ref="P258:Q258"/>
    <mergeCell ref="G259:I259"/>
    <mergeCell ref="P259:Q259"/>
    <mergeCell ref="G254:I254"/>
    <mergeCell ref="P254:Q254"/>
    <mergeCell ref="G255:I255"/>
    <mergeCell ref="P255:Q255"/>
    <mergeCell ref="G256:I256"/>
    <mergeCell ref="P256:Q256"/>
    <mergeCell ref="G251:I251"/>
    <mergeCell ref="P251:Q251"/>
    <mergeCell ref="G252:I252"/>
    <mergeCell ref="P252:Q252"/>
    <mergeCell ref="G253:I253"/>
    <mergeCell ref="P253:Q253"/>
    <mergeCell ref="G248:I248"/>
    <mergeCell ref="P248:Q248"/>
    <mergeCell ref="G249:I249"/>
    <mergeCell ref="P249:Q249"/>
    <mergeCell ref="G250:I250"/>
    <mergeCell ref="P250:Q250"/>
    <mergeCell ref="G245:I245"/>
    <mergeCell ref="P245:Q245"/>
    <mergeCell ref="G246:I246"/>
    <mergeCell ref="P246:Q246"/>
    <mergeCell ref="G247:I247"/>
    <mergeCell ref="P247:Q247"/>
    <mergeCell ref="G242:I242"/>
    <mergeCell ref="P242:Q242"/>
    <mergeCell ref="G243:I243"/>
    <mergeCell ref="P243:Q243"/>
    <mergeCell ref="G244:I244"/>
    <mergeCell ref="P244:Q244"/>
    <mergeCell ref="G239:I239"/>
    <mergeCell ref="P239:Q239"/>
    <mergeCell ref="G240:I240"/>
    <mergeCell ref="P240:Q240"/>
    <mergeCell ref="G241:I241"/>
    <mergeCell ref="P241:Q241"/>
    <mergeCell ref="G236:I236"/>
    <mergeCell ref="P236:Q236"/>
    <mergeCell ref="G237:I237"/>
    <mergeCell ref="P237:Q237"/>
    <mergeCell ref="G238:I238"/>
    <mergeCell ref="P238:Q238"/>
    <mergeCell ref="G233:I233"/>
    <mergeCell ref="P233:Q233"/>
    <mergeCell ref="G234:I234"/>
    <mergeCell ref="P234:Q234"/>
    <mergeCell ref="G235:I235"/>
    <mergeCell ref="P235:Q235"/>
    <mergeCell ref="G230:I230"/>
    <mergeCell ref="P230:Q230"/>
    <mergeCell ref="G231:I231"/>
    <mergeCell ref="P231:Q231"/>
    <mergeCell ref="G232:I232"/>
    <mergeCell ref="P232:Q232"/>
    <mergeCell ref="G227:I227"/>
    <mergeCell ref="P227:Q227"/>
    <mergeCell ref="G228:I228"/>
    <mergeCell ref="P228:Q228"/>
    <mergeCell ref="G229:I229"/>
    <mergeCell ref="P229:Q229"/>
    <mergeCell ref="G224:I224"/>
    <mergeCell ref="P224:Q224"/>
    <mergeCell ref="G225:I225"/>
    <mergeCell ref="P225:Q225"/>
    <mergeCell ref="G226:I226"/>
    <mergeCell ref="P226:Q226"/>
    <mergeCell ref="G221:I221"/>
    <mergeCell ref="P221:Q221"/>
    <mergeCell ref="G222:I222"/>
    <mergeCell ref="P222:Q222"/>
    <mergeCell ref="G223:I223"/>
    <mergeCell ref="P223:Q223"/>
    <mergeCell ref="G218:I218"/>
    <mergeCell ref="P218:Q218"/>
    <mergeCell ref="G219:I219"/>
    <mergeCell ref="P219:Q219"/>
    <mergeCell ref="G220:I220"/>
    <mergeCell ref="P220:Q220"/>
    <mergeCell ref="G215:I215"/>
    <mergeCell ref="P215:Q215"/>
    <mergeCell ref="G216:I216"/>
    <mergeCell ref="P216:Q216"/>
    <mergeCell ref="G217:I217"/>
    <mergeCell ref="P217:Q217"/>
    <mergeCell ref="G212:I212"/>
    <mergeCell ref="P212:Q212"/>
    <mergeCell ref="G213:I213"/>
    <mergeCell ref="P213:Q213"/>
    <mergeCell ref="G214:I214"/>
    <mergeCell ref="P214:Q214"/>
    <mergeCell ref="G209:I209"/>
    <mergeCell ref="P209:Q209"/>
    <mergeCell ref="G210:I210"/>
    <mergeCell ref="P210:Q210"/>
    <mergeCell ref="G211:I211"/>
    <mergeCell ref="P211:Q211"/>
    <mergeCell ref="G206:I206"/>
    <mergeCell ref="P206:Q206"/>
    <mergeCell ref="G207:I207"/>
    <mergeCell ref="P207:Q207"/>
    <mergeCell ref="G208:I208"/>
    <mergeCell ref="P208:Q208"/>
    <mergeCell ref="G203:I203"/>
    <mergeCell ref="P203:Q203"/>
    <mergeCell ref="G204:I204"/>
    <mergeCell ref="P204:Q204"/>
    <mergeCell ref="G205:I205"/>
    <mergeCell ref="P205:Q205"/>
    <mergeCell ref="G200:I200"/>
    <mergeCell ref="P200:Q200"/>
    <mergeCell ref="G201:I201"/>
    <mergeCell ref="P201:Q201"/>
    <mergeCell ref="G202:I202"/>
    <mergeCell ref="P202:Q202"/>
    <mergeCell ref="G197:I197"/>
    <mergeCell ref="P197:Q197"/>
    <mergeCell ref="G198:I198"/>
    <mergeCell ref="P198:Q198"/>
    <mergeCell ref="G199:I199"/>
    <mergeCell ref="P199:Q199"/>
    <mergeCell ref="G194:I194"/>
    <mergeCell ref="P194:Q194"/>
    <mergeCell ref="G195:I195"/>
    <mergeCell ref="P195:Q195"/>
    <mergeCell ref="G196:I196"/>
    <mergeCell ref="P196:Q196"/>
    <mergeCell ref="G191:I191"/>
    <mergeCell ref="P191:Q191"/>
    <mergeCell ref="G192:I192"/>
    <mergeCell ref="P192:Q192"/>
    <mergeCell ref="G193:I193"/>
    <mergeCell ref="P193:Q193"/>
    <mergeCell ref="G188:I188"/>
    <mergeCell ref="P188:Q188"/>
    <mergeCell ref="G189:I189"/>
    <mergeCell ref="P189:Q189"/>
    <mergeCell ref="G190:I190"/>
    <mergeCell ref="P190:Q190"/>
    <mergeCell ref="G185:I185"/>
    <mergeCell ref="P185:Q185"/>
    <mergeCell ref="G186:I186"/>
    <mergeCell ref="P186:Q186"/>
    <mergeCell ref="G187:I187"/>
    <mergeCell ref="P187:Q187"/>
    <mergeCell ref="G182:I182"/>
    <mergeCell ref="P182:Q182"/>
    <mergeCell ref="G183:I183"/>
    <mergeCell ref="P183:Q183"/>
    <mergeCell ref="G184:I184"/>
    <mergeCell ref="P184:Q184"/>
    <mergeCell ref="G179:I179"/>
    <mergeCell ref="P179:Q179"/>
    <mergeCell ref="G180:I180"/>
    <mergeCell ref="P180:Q180"/>
    <mergeCell ref="G181:I181"/>
    <mergeCell ref="P181:Q181"/>
    <mergeCell ref="G176:I176"/>
    <mergeCell ref="P176:Q176"/>
    <mergeCell ref="G177:I177"/>
    <mergeCell ref="P177:Q177"/>
    <mergeCell ref="G178:I178"/>
    <mergeCell ref="P178:Q178"/>
    <mergeCell ref="G173:I173"/>
    <mergeCell ref="P173:Q173"/>
    <mergeCell ref="G174:I174"/>
    <mergeCell ref="P174:Q174"/>
    <mergeCell ref="G175:I175"/>
    <mergeCell ref="P175:Q175"/>
    <mergeCell ref="G170:I170"/>
    <mergeCell ref="P170:Q170"/>
    <mergeCell ref="G171:I171"/>
    <mergeCell ref="P171:Q171"/>
    <mergeCell ref="G172:I172"/>
    <mergeCell ref="P172:Q172"/>
    <mergeCell ref="G167:I167"/>
    <mergeCell ref="P167:Q167"/>
    <mergeCell ref="G168:I168"/>
    <mergeCell ref="P168:Q168"/>
    <mergeCell ref="G169:I169"/>
    <mergeCell ref="P169:Q169"/>
    <mergeCell ref="G164:I164"/>
    <mergeCell ref="P164:Q164"/>
    <mergeCell ref="G165:I165"/>
    <mergeCell ref="P165:Q165"/>
    <mergeCell ref="G166:I166"/>
    <mergeCell ref="P166:Q166"/>
    <mergeCell ref="G161:I161"/>
    <mergeCell ref="P161:Q161"/>
    <mergeCell ref="G162:I162"/>
    <mergeCell ref="P162:Q162"/>
    <mergeCell ref="G163:I163"/>
    <mergeCell ref="P163:Q163"/>
    <mergeCell ref="G158:I158"/>
    <mergeCell ref="P158:Q158"/>
    <mergeCell ref="G159:I159"/>
    <mergeCell ref="P159:Q159"/>
    <mergeCell ref="G160:I160"/>
    <mergeCell ref="P160:Q160"/>
    <mergeCell ref="G155:I155"/>
    <mergeCell ref="P155:Q155"/>
    <mergeCell ref="G156:I156"/>
    <mergeCell ref="P156:Q156"/>
    <mergeCell ref="G157:I157"/>
    <mergeCell ref="P157:Q157"/>
    <mergeCell ref="G152:I152"/>
    <mergeCell ref="P152:Q152"/>
    <mergeCell ref="G153:I153"/>
    <mergeCell ref="P153:Q153"/>
    <mergeCell ref="G154:I154"/>
    <mergeCell ref="P154:Q154"/>
    <mergeCell ref="G149:I149"/>
    <mergeCell ref="P149:Q149"/>
    <mergeCell ref="G150:I150"/>
    <mergeCell ref="P150:Q150"/>
    <mergeCell ref="G151:I151"/>
    <mergeCell ref="P151:Q151"/>
    <mergeCell ref="G146:I146"/>
    <mergeCell ref="P146:Q146"/>
    <mergeCell ref="G147:I147"/>
    <mergeCell ref="P147:Q147"/>
    <mergeCell ref="G148:I148"/>
    <mergeCell ref="P148:Q148"/>
    <mergeCell ref="G143:I143"/>
    <mergeCell ref="P143:Q143"/>
    <mergeCell ref="G144:I144"/>
    <mergeCell ref="P144:Q144"/>
    <mergeCell ref="G145:I145"/>
    <mergeCell ref="P145:Q145"/>
    <mergeCell ref="G140:I140"/>
    <mergeCell ref="P140:Q140"/>
    <mergeCell ref="G141:I141"/>
    <mergeCell ref="P141:Q141"/>
    <mergeCell ref="G142:I142"/>
    <mergeCell ref="P142:Q142"/>
    <mergeCell ref="G137:I137"/>
    <mergeCell ref="P137:Q137"/>
    <mergeCell ref="G138:I138"/>
    <mergeCell ref="P138:Q138"/>
    <mergeCell ref="G139:I139"/>
    <mergeCell ref="P139:Q139"/>
    <mergeCell ref="G134:I134"/>
    <mergeCell ref="P134:Q134"/>
    <mergeCell ref="G135:I135"/>
    <mergeCell ref="P135:Q135"/>
    <mergeCell ref="G136:I136"/>
    <mergeCell ref="P136:Q136"/>
    <mergeCell ref="G131:I131"/>
    <mergeCell ref="P131:Q131"/>
    <mergeCell ref="G132:I132"/>
    <mergeCell ref="P132:Q132"/>
    <mergeCell ref="G133:I133"/>
    <mergeCell ref="P133:Q133"/>
    <mergeCell ref="G128:I128"/>
    <mergeCell ref="P128:Q128"/>
    <mergeCell ref="G129:I129"/>
    <mergeCell ref="P129:Q129"/>
    <mergeCell ref="G130:I130"/>
    <mergeCell ref="P130:Q130"/>
    <mergeCell ref="G125:I125"/>
    <mergeCell ref="P125:Q125"/>
    <mergeCell ref="G126:I126"/>
    <mergeCell ref="P126:Q126"/>
    <mergeCell ref="G127:I127"/>
    <mergeCell ref="P127:Q127"/>
    <mergeCell ref="G122:I122"/>
    <mergeCell ref="P122:Q122"/>
    <mergeCell ref="G123:I123"/>
    <mergeCell ref="P123:Q123"/>
    <mergeCell ref="G124:I124"/>
    <mergeCell ref="P124:Q124"/>
    <mergeCell ref="G119:I119"/>
    <mergeCell ref="P119:Q119"/>
    <mergeCell ref="G120:I120"/>
    <mergeCell ref="P120:Q120"/>
    <mergeCell ref="G121:I121"/>
    <mergeCell ref="P121:Q121"/>
    <mergeCell ref="G116:I116"/>
    <mergeCell ref="P116:Q116"/>
    <mergeCell ref="G117:I117"/>
    <mergeCell ref="P117:Q117"/>
    <mergeCell ref="G118:I118"/>
    <mergeCell ref="P118:Q118"/>
    <mergeCell ref="G113:I113"/>
    <mergeCell ref="P113:Q113"/>
    <mergeCell ref="G114:I114"/>
    <mergeCell ref="P114:Q114"/>
    <mergeCell ref="G115:I115"/>
    <mergeCell ref="P115:Q115"/>
    <mergeCell ref="G110:I110"/>
    <mergeCell ref="P110:Q110"/>
    <mergeCell ref="G111:I111"/>
    <mergeCell ref="P111:Q111"/>
    <mergeCell ref="G112:I112"/>
    <mergeCell ref="P112:Q112"/>
    <mergeCell ref="G107:I107"/>
    <mergeCell ref="P107:Q107"/>
    <mergeCell ref="G108:I108"/>
    <mergeCell ref="P108:Q108"/>
    <mergeCell ref="G109:I109"/>
    <mergeCell ref="P109:Q109"/>
    <mergeCell ref="G104:I104"/>
    <mergeCell ref="P104:Q104"/>
    <mergeCell ref="G105:I105"/>
    <mergeCell ref="P105:Q105"/>
    <mergeCell ref="G106:I106"/>
    <mergeCell ref="P106:Q106"/>
    <mergeCell ref="G101:I101"/>
    <mergeCell ref="P101:Q101"/>
    <mergeCell ref="G102:I102"/>
    <mergeCell ref="P102:Q102"/>
    <mergeCell ref="G103:I103"/>
    <mergeCell ref="P103:Q103"/>
    <mergeCell ref="G98:I98"/>
    <mergeCell ref="P98:Q98"/>
    <mergeCell ref="G99:I99"/>
    <mergeCell ref="P99:Q99"/>
    <mergeCell ref="G100:I100"/>
    <mergeCell ref="P100:Q100"/>
    <mergeCell ref="G95:I95"/>
    <mergeCell ref="P95:Q95"/>
    <mergeCell ref="G96:I96"/>
    <mergeCell ref="P96:Q96"/>
    <mergeCell ref="G97:I97"/>
    <mergeCell ref="P97:Q97"/>
    <mergeCell ref="J93:O93"/>
    <mergeCell ref="P93:Q94"/>
    <mergeCell ref="R93:V93"/>
    <mergeCell ref="W93:Z93"/>
    <mergeCell ref="AA93:AA94"/>
    <mergeCell ref="G94:I94"/>
    <mergeCell ref="S94:T94"/>
    <mergeCell ref="U94:V94"/>
    <mergeCell ref="C86:D86"/>
    <mergeCell ref="E86:E87"/>
    <mergeCell ref="N86:N87"/>
    <mergeCell ref="G87:L87"/>
    <mergeCell ref="A93:A94"/>
    <mergeCell ref="B93:B94"/>
    <mergeCell ref="C93:C94"/>
    <mergeCell ref="D93:D94"/>
    <mergeCell ref="E93:E94"/>
    <mergeCell ref="F93:I93"/>
    <mergeCell ref="C80:D80"/>
    <mergeCell ref="E80:L80"/>
    <mergeCell ref="E81:L81"/>
    <mergeCell ref="E82:L82"/>
    <mergeCell ref="E83:L83"/>
    <mergeCell ref="E84:L84"/>
    <mergeCell ref="C67:D67"/>
    <mergeCell ref="K67:L67"/>
    <mergeCell ref="C68:D68"/>
    <mergeCell ref="K68:L68"/>
    <mergeCell ref="C69:D69"/>
    <mergeCell ref="K69:L69"/>
    <mergeCell ref="C64:D64"/>
    <mergeCell ref="K64:L64"/>
    <mergeCell ref="C65:D65"/>
    <mergeCell ref="K65:L65"/>
    <mergeCell ref="C66:D66"/>
    <mergeCell ref="K66:L66"/>
    <mergeCell ref="C61:D61"/>
    <mergeCell ref="K61:L61"/>
    <mergeCell ref="C62:D62"/>
    <mergeCell ref="K62:L62"/>
    <mergeCell ref="C63:D63"/>
    <mergeCell ref="K63:L63"/>
    <mergeCell ref="C58:D58"/>
    <mergeCell ref="K58:L58"/>
    <mergeCell ref="C59:D59"/>
    <mergeCell ref="K59:L59"/>
    <mergeCell ref="C60:D60"/>
    <mergeCell ref="K60:L60"/>
    <mergeCell ref="C55:D55"/>
    <mergeCell ref="K55:L55"/>
    <mergeCell ref="C56:D56"/>
    <mergeCell ref="K56:L56"/>
    <mergeCell ref="C57:D57"/>
    <mergeCell ref="K57:L57"/>
    <mergeCell ref="C52:D52"/>
    <mergeCell ref="K52:L52"/>
    <mergeCell ref="C53:D53"/>
    <mergeCell ref="K53:L53"/>
    <mergeCell ref="C54:D54"/>
    <mergeCell ref="K54:L54"/>
    <mergeCell ref="C49:D49"/>
    <mergeCell ref="K49:L49"/>
    <mergeCell ref="C50:D50"/>
    <mergeCell ref="K50:L50"/>
    <mergeCell ref="C51:D51"/>
    <mergeCell ref="K51:L51"/>
    <mergeCell ref="C47:D47"/>
    <mergeCell ref="K47:L47"/>
    <mergeCell ref="M47:N47"/>
    <mergeCell ref="O47:P47"/>
    <mergeCell ref="C48:D48"/>
    <mergeCell ref="K48:L48"/>
    <mergeCell ref="F41:G41"/>
    <mergeCell ref="I41:L41"/>
    <mergeCell ref="C43:D43"/>
    <mergeCell ref="E43:L43"/>
    <mergeCell ref="F44:G44"/>
    <mergeCell ref="I44:L44"/>
    <mergeCell ref="C37:D37"/>
    <mergeCell ref="E37:L37"/>
    <mergeCell ref="F38:G38"/>
    <mergeCell ref="I38:L38"/>
    <mergeCell ref="C40:D40"/>
    <mergeCell ref="E40:L40"/>
    <mergeCell ref="F32:G32"/>
    <mergeCell ref="I32:L32"/>
    <mergeCell ref="C34:D34"/>
    <mergeCell ref="E34:L34"/>
    <mergeCell ref="F35:G35"/>
    <mergeCell ref="I35:L35"/>
    <mergeCell ref="C28:D28"/>
    <mergeCell ref="E28:L28"/>
    <mergeCell ref="F29:G29"/>
    <mergeCell ref="I29:L29"/>
    <mergeCell ref="C31:D31"/>
    <mergeCell ref="E31:L31"/>
    <mergeCell ref="C7:D7"/>
    <mergeCell ref="E7:L7"/>
    <mergeCell ref="C25:D25"/>
    <mergeCell ref="E25:L25"/>
    <mergeCell ref="F26:G26"/>
    <mergeCell ref="I26:L26"/>
  </mergeCells>
  <conditionalFormatting sqref="K48:K69">
    <cfRule type="dataBar" priority="5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{55CA8E16-8728-4502-9D96-545E2BC5E258}</x14:id>
        </ext>
      </extLst>
    </cfRule>
  </conditionalFormatting>
  <conditionalFormatting sqref="J233:J494 J222:J224 J95:J174">
    <cfRule type="cellIs" dxfId="67" priority="62" operator="equal">
      <formula>"OK"</formula>
    </cfRule>
    <cfRule type="cellIs" dxfId="66" priority="63" operator="equal">
      <formula>"NOK"</formula>
    </cfRule>
    <cfRule type="cellIs" dxfId="65" priority="64" operator="equal">
      <formula>"Already Tested"</formula>
    </cfRule>
    <cfRule type="cellIs" dxfId="64" priority="65" operator="equal">
      <formula>"Not Tested"</formula>
    </cfRule>
    <cfRule type="cellIs" dxfId="63" priority="66" operator="equal">
      <formula>"In Progress"</formula>
    </cfRule>
    <cfRule type="expression" dxfId="62" priority="67">
      <formula>(LEN($F95)&gt;0)</formula>
    </cfRule>
  </conditionalFormatting>
  <conditionalFormatting sqref="W233:W494 W222:W224 W95:W174">
    <cfRule type="cellIs" dxfId="61" priority="39" operator="equal">
      <formula>"OK"</formula>
    </cfRule>
    <cfRule type="cellIs" dxfId="60" priority="59" operator="equal">
      <formula>"NOK"</formula>
    </cfRule>
    <cfRule type="expression" dxfId="59" priority="60">
      <formula>($J95="In Progress")</formula>
    </cfRule>
    <cfRule type="expression" dxfId="58" priority="61">
      <formula>(LEN($J95)&gt;0)</formula>
    </cfRule>
  </conditionalFormatting>
  <conditionalFormatting sqref="M48:N69">
    <cfRule type="expression" dxfId="57" priority="52">
      <formula>($M48=3)</formula>
    </cfRule>
    <cfRule type="expression" dxfId="56" priority="53">
      <formula>($M48=2)</formula>
    </cfRule>
    <cfRule type="expression" dxfId="55" priority="54">
      <formula>($M48=1)</formula>
    </cfRule>
    <cfRule type="expression" dxfId="54" priority="55">
      <formula>($M48=0)</formula>
    </cfRule>
  </conditionalFormatting>
  <conditionalFormatting sqref="M47:N47">
    <cfRule type="expression" dxfId="53" priority="48">
      <formula>(M69=3)</formula>
    </cfRule>
    <cfRule type="expression" dxfId="52" priority="49">
      <formula>(M69=2)</formula>
    </cfRule>
    <cfRule type="expression" dxfId="51" priority="50">
      <formula>(M69=1)</formula>
    </cfRule>
    <cfRule type="expression" dxfId="50" priority="51">
      <formula>(M69=0)</formula>
    </cfRule>
  </conditionalFormatting>
  <conditionalFormatting sqref="O47:P47">
    <cfRule type="expression" dxfId="49" priority="44">
      <formula>(O69=3)</formula>
    </cfRule>
    <cfRule type="expression" dxfId="48" priority="45">
      <formula>(O69=2)</formula>
    </cfRule>
    <cfRule type="expression" dxfId="47" priority="46">
      <formula>(O69=1)</formula>
    </cfRule>
    <cfRule type="expression" dxfId="46" priority="47">
      <formula>(O69=0)</formula>
    </cfRule>
  </conditionalFormatting>
  <conditionalFormatting sqref="O48:P69">
    <cfRule type="expression" dxfId="45" priority="41">
      <formula>($O48=3)</formula>
    </cfRule>
    <cfRule type="expression" dxfId="44" priority="42">
      <formula>($O48=2)</formula>
    </cfRule>
    <cfRule type="expression" dxfId="43" priority="43">
      <formula>($O48=1)</formula>
    </cfRule>
    <cfRule type="expression" dxfId="42" priority="58">
      <formula>($O48=0)</formula>
    </cfRule>
  </conditionalFormatting>
  <conditionalFormatting sqref="M233:M494 M222:M224 M95:M174">
    <cfRule type="expression" dxfId="41" priority="37">
      <formula>($J95="Already Tested")*(LEN($M95)=0)</formula>
    </cfRule>
    <cfRule type="expression" dxfId="40" priority="38">
      <formula>($J95="Already Tested")</formula>
    </cfRule>
  </conditionalFormatting>
  <conditionalFormatting sqref="J225:J232">
    <cfRule type="cellIs" dxfId="39" priority="31" operator="equal">
      <formula>"OK"</formula>
    </cfRule>
    <cfRule type="cellIs" dxfId="38" priority="32" operator="equal">
      <formula>"NOK"</formula>
    </cfRule>
    <cfRule type="cellIs" dxfId="37" priority="33" operator="equal">
      <formula>"Already Tested"</formula>
    </cfRule>
    <cfRule type="cellIs" dxfId="36" priority="34" operator="equal">
      <formula>"Not Tested"</formula>
    </cfRule>
    <cfRule type="cellIs" dxfId="35" priority="35" operator="equal">
      <formula>"In Progress"</formula>
    </cfRule>
    <cfRule type="expression" dxfId="34" priority="36">
      <formula>(LEN($F225)&gt;0)</formula>
    </cfRule>
  </conditionalFormatting>
  <conditionalFormatting sqref="W225:W232">
    <cfRule type="cellIs" dxfId="33" priority="27" operator="equal">
      <formula>"OK"</formula>
    </cfRule>
    <cfRule type="cellIs" dxfId="32" priority="28" operator="equal">
      <formula>"NOK"</formula>
    </cfRule>
    <cfRule type="expression" dxfId="31" priority="29">
      <formula>($J225="In Progress")</formula>
    </cfRule>
    <cfRule type="expression" dxfId="30" priority="30">
      <formula>(LEN($J225)&gt;0)</formula>
    </cfRule>
  </conditionalFormatting>
  <conditionalFormatting sqref="M225:M232">
    <cfRule type="expression" dxfId="29" priority="25">
      <formula>($J225="Already Tested")*(LEN($M225)=0)</formula>
    </cfRule>
    <cfRule type="expression" dxfId="28" priority="26">
      <formula>($J225="Already Tested")</formula>
    </cfRule>
  </conditionalFormatting>
  <conditionalFormatting sqref="J173:J213">
    <cfRule type="cellIs" dxfId="27" priority="19" operator="equal">
      <formula>"OK"</formula>
    </cfRule>
    <cfRule type="cellIs" dxfId="26" priority="20" operator="equal">
      <formula>"NOK"</formula>
    </cfRule>
    <cfRule type="cellIs" dxfId="25" priority="21" operator="equal">
      <formula>"Already Tested"</formula>
    </cfRule>
    <cfRule type="cellIs" dxfId="24" priority="22" operator="equal">
      <formula>"Not Tested"</formula>
    </cfRule>
    <cfRule type="cellIs" dxfId="23" priority="23" operator="equal">
      <formula>"In Progress"</formula>
    </cfRule>
    <cfRule type="expression" dxfId="22" priority="24">
      <formula>(LEN($F173)&gt;0)</formula>
    </cfRule>
  </conditionalFormatting>
  <conditionalFormatting sqref="W173:W213">
    <cfRule type="cellIs" dxfId="21" priority="15" operator="equal">
      <formula>"OK"</formula>
    </cfRule>
    <cfRule type="cellIs" dxfId="20" priority="16" operator="equal">
      <formula>"NOK"</formula>
    </cfRule>
    <cfRule type="expression" dxfId="19" priority="17">
      <formula>($J173="In Progress")</formula>
    </cfRule>
    <cfRule type="expression" dxfId="18" priority="18">
      <formula>(LEN($J173)&gt;0)</formula>
    </cfRule>
  </conditionalFormatting>
  <conditionalFormatting sqref="M173:M213">
    <cfRule type="expression" dxfId="17" priority="13">
      <formula>($J173="Already Tested")*(LEN($M173)=0)</formula>
    </cfRule>
    <cfRule type="expression" dxfId="16" priority="14">
      <formula>($J173="Already Tested")</formula>
    </cfRule>
  </conditionalFormatting>
  <conditionalFormatting sqref="J213:J221">
    <cfRule type="cellIs" dxfId="15" priority="7" operator="equal">
      <formula>"OK"</formula>
    </cfRule>
    <cfRule type="cellIs" dxfId="14" priority="8" operator="equal">
      <formula>"NOK"</formula>
    </cfRule>
    <cfRule type="cellIs" dxfId="13" priority="9" operator="equal">
      <formula>"Already Tested"</formula>
    </cfRule>
    <cfRule type="cellIs" dxfId="12" priority="10" operator="equal">
      <formula>"Not Tested"</formula>
    </cfRule>
    <cfRule type="cellIs" dxfId="11" priority="11" operator="equal">
      <formula>"In Progress"</formula>
    </cfRule>
    <cfRule type="expression" dxfId="10" priority="12">
      <formula>(LEN($F213)&gt;0)</formula>
    </cfRule>
  </conditionalFormatting>
  <conditionalFormatting sqref="W213:W221">
    <cfRule type="cellIs" dxfId="9" priority="3" operator="equal">
      <formula>"OK"</formula>
    </cfRule>
    <cfRule type="cellIs" dxfId="8" priority="4" operator="equal">
      <formula>"NOK"</formula>
    </cfRule>
    <cfRule type="expression" dxfId="7" priority="5">
      <formula>($J213="In Progress")</formula>
    </cfRule>
    <cfRule type="expression" dxfId="6" priority="6">
      <formula>(LEN($J213)&gt;0)</formula>
    </cfRule>
  </conditionalFormatting>
  <conditionalFormatting sqref="M213:M221">
    <cfRule type="expression" dxfId="5" priority="1">
      <formula>($J213="Already Tested")*(LEN($M213)=0)</formula>
    </cfRule>
    <cfRule type="expression" dxfId="4" priority="2">
      <formula>($J213="Already Tested")</formula>
    </cfRule>
  </conditionalFormatting>
  <conditionalFormatting sqref="O95:O493">
    <cfRule type="cellIs" dxfId="3" priority="68" operator="equal">
      <formula>"OK"</formula>
    </cfRule>
    <cfRule type="cellIs" dxfId="2" priority="69" operator="equal">
      <formula>"fixed"</formula>
    </cfRule>
    <cfRule type="cellIs" dxfId="1" priority="70" operator="equal">
      <formula>"NOK"</formula>
    </cfRule>
    <cfRule type="expression" dxfId="0" priority="71">
      <formula>(LEN($J95)&gt;0)</formula>
    </cfRule>
  </conditionalFormatting>
  <dataValidations count="10">
    <dataValidation type="list" allowBlank="1" showInputMessage="1" showErrorMessage="1" sqref="O95:O494">
      <formula1>"OK,fixed,NOK"</formula1>
    </dataValidation>
    <dataValidation type="list" showInputMessage="1" showErrorMessage="1" sqref="E95:E494">
      <formula1>"'++,'+,'o,'-,'--"</formula1>
    </dataValidation>
    <dataValidation type="list" showInputMessage="1" showErrorMessage="1" sqref="E86:E87">
      <formula1>"NO,YES"</formula1>
    </dataValidation>
    <dataValidation type="list" showInputMessage="1" showErrorMessage="1" sqref="W95:W494">
      <formula1>"OK,NOK"</formula1>
    </dataValidation>
    <dataValidation type="list" showInputMessage="1" showErrorMessage="1" sqref="J95:J494">
      <formula1>"OK,NOK,In Progress,Not Tested,Already Tested"</formula1>
    </dataValidation>
    <dataValidation type="list" showInputMessage="1" showErrorMessage="1" sqref="X95:X494 G86">
      <formula1>reviewers</formula1>
    </dataValidation>
    <dataValidation type="list" showInputMessage="1" showErrorMessage="1" sqref="K95:K494">
      <formula1>testers</formula1>
    </dataValidation>
    <dataValidation type="list" showInputMessage="1" showErrorMessage="1" sqref="D95:D494">
      <formula1>categories</formula1>
    </dataValidation>
    <dataValidation type="list" showInputMessage="1" showErrorMessage="1" sqref="C95:C494">
      <formula1>bomversions</formula1>
    </dataValidation>
    <dataValidation type="list" showInputMessage="1" showErrorMessage="1" sqref="B95:B494">
      <formula1>revisions</formula1>
    </dataValidation>
  </dataValidation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5CA8E16-8728-4502-9D96-545E2BC5E2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K48:K69</xm:sqref>
        </x14:conditionalFormatting>
        <x14:conditionalFormatting xmlns:xm="http://schemas.microsoft.com/office/excel/2006/main">
          <x14:cfRule type="iconSet" priority="57" id="{031A885E-3046-4393-9F7E-03D2E0BE16F6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M48:M69</xm:sqref>
        </x14:conditionalFormatting>
        <x14:conditionalFormatting xmlns:xm="http://schemas.microsoft.com/office/excel/2006/main">
          <x14:cfRule type="iconSet" priority="40" id="{E57BA89B-9FC5-45F5-BA3F-896D6789566F}">
            <x14:iconSet iconSet="5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Symbols" iconId="2"/>
              <x14:cfIcon iconSet="3TrafficLights1" iconId="1"/>
              <x14:cfIcon iconSet="3Symbols" iconId="1"/>
              <x14:cfIcon iconSet="3Symbols" iconId="0"/>
              <x14:cfIcon iconSet="NoIcons" iconId="0"/>
            </x14:iconSet>
          </x14:cfRule>
          <xm:sqref>O48:O69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2</vt:i4>
      </vt:variant>
    </vt:vector>
  </HeadingPairs>
  <TitlesOfParts>
    <vt:vector size="17" baseType="lpstr">
      <vt:lpstr>Overview</vt:lpstr>
      <vt:lpstr>Specification</vt:lpstr>
      <vt:lpstr>Design Documentation</vt:lpstr>
      <vt:lpstr>Electrical</vt:lpstr>
      <vt:lpstr>Electrical Functional</vt:lpstr>
      <vt:lpstr>Functional</vt:lpstr>
      <vt:lpstr>Lifetime Estimation</vt:lpstr>
      <vt:lpstr>Environmental</vt:lpstr>
      <vt:lpstr>EMC</vt:lpstr>
      <vt:lpstr>Risk Analysis</vt:lpstr>
      <vt:lpstr>Certification</vt:lpstr>
      <vt:lpstr>Aging</vt:lpstr>
      <vt:lpstr>Mechanical</vt:lpstr>
      <vt:lpstr>Quality Assurance</vt:lpstr>
      <vt:lpstr>Misc</vt:lpstr>
      <vt:lpstr>Overview!Druckbereich</vt:lpstr>
      <vt:lpstr>Overview!Kontrollkästchen1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Nöhmer</dc:creator>
  <cp:lastModifiedBy>Stefan Nöhmer</cp:lastModifiedBy>
  <dcterms:created xsi:type="dcterms:W3CDTF">2013-03-19T15:30:08Z</dcterms:created>
  <dcterms:modified xsi:type="dcterms:W3CDTF">2014-02-24T15:12:03Z</dcterms:modified>
</cp:coreProperties>
</file>